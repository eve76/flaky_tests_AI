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nsu99/Desktop/RENE/flaky_tests_AI/"/>
    </mc:Choice>
  </mc:AlternateContent>
  <xr:revisionPtr revIDLastSave="0" documentId="13_ncr:1_{EA9765DB-B122-B44A-9E72-CABCF1D9DC8C}" xr6:coauthVersionLast="47" xr6:coauthVersionMax="47" xr10:uidLastSave="{00000000-0000-0000-0000-000000000000}"/>
  <bookViews>
    <workbookView xWindow="0" yWindow="22300" windowWidth="27040" windowHeight="16860" activeTab="5" xr2:uid="{00000000-000D-0000-FFFF-FFFF00000000}"/>
  </bookViews>
  <sheets>
    <sheet name="70-30 normal" sheetId="1" r:id="rId1"/>
    <sheet name="70_30_TFIDF" sheetId="8" r:id="rId2"/>
    <sheet name="80-20 normal" sheetId="3" r:id="rId3"/>
    <sheet name="cross_validation normal" sheetId="4" r:id="rId4"/>
    <sheet name="Cross_Projects_70_30" sheetId="6" r:id="rId5"/>
    <sheet name="cross_project_70_30_TFIDF" sheetId="7" r:id="rId6"/>
    <sheet name="statistic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2" i="8"/>
  <c r="I116" i="8"/>
  <c r="I117" i="8"/>
  <c r="I118" i="8"/>
  <c r="I119" i="8"/>
  <c r="I120" i="8"/>
  <c r="I121" i="8"/>
  <c r="I122" i="8"/>
  <c r="I123" i="8"/>
  <c r="I124" i="8"/>
  <c r="I125" i="8"/>
  <c r="O45" i="8"/>
</calcChain>
</file>

<file path=xl/sharedStrings.xml><?xml version="1.0" encoding="utf-8"?>
<sst xmlns="http://schemas.openxmlformats.org/spreadsheetml/2006/main" count="1861" uniqueCount="745">
  <si>
    <t>classifier</t>
  </si>
  <si>
    <t>f1score</t>
  </si>
  <si>
    <t>accuracy</t>
  </si>
  <si>
    <t>confusionMatrix</t>
  </si>
  <si>
    <t>classificationReport</t>
  </si>
  <si>
    <t>AUC</t>
  </si>
  <si>
    <t>MCC</t>
  </si>
  <si>
    <t>randomForest</t>
  </si>
  <si>
    <t>decisionTree</t>
  </si>
  <si>
    <t>naiveBayes</t>
  </si>
  <si>
    <t>smo</t>
  </si>
  <si>
    <t>knn</t>
  </si>
  <si>
    <t>logisticRegression</t>
  </si>
  <si>
    <t>perceptron</t>
  </si>
  <si>
    <t>lda</t>
  </si>
  <si>
    <t>[[241  12]
 [ 11 308]]</t>
  </si>
  <si>
    <t>[[241  12]
 [ 18 301]]</t>
  </si>
  <si>
    <t>[[244   9]
 [ 11 308]]</t>
  </si>
  <si>
    <t>[[233  20]
 [  6 313]]</t>
  </si>
  <si>
    <t>[[242  11]
 [ 10 309]]</t>
  </si>
  <si>
    <t>[[235  18]
 [  6 313]]</t>
  </si>
  <si>
    <t>[[224  29]
 [  7 312]]</t>
  </si>
  <si>
    <t>[[175  78]
 [ 53 266]]</t>
  </si>
  <si>
    <t>[[25  0]
 [ 4 34]]</t>
  </si>
  <si>
    <t>[[25  0]
 [ 6 32]]</t>
  </si>
  <si>
    <t>[[24  1]
 [ 1 37]]</t>
  </si>
  <si>
    <t>[[25  0]
 [ 0 38]]</t>
  </si>
  <si>
    <t>[[25  0]
 [ 3 35]]</t>
  </si>
  <si>
    <t>[[16  9]
 [ 4 34]]</t>
  </si>
  <si>
    <t>[[ 3  1]
 [ 0 20]]</t>
  </si>
  <si>
    <t>[[ 2  2]
 [ 0 20]]</t>
  </si>
  <si>
    <t>[[ 4  0]
 [ 4 16]]</t>
  </si>
  <si>
    <t>[[ 3  1]
 [ 8 12]]</t>
  </si>
  <si>
    <t>[[ 2  0]
 [ 0 25]]</t>
  </si>
  <si>
    <t>[[ 1  1]
 [ 0 25]]</t>
  </si>
  <si>
    <t>[[ 1  1]
 [ 2 23]]</t>
  </si>
  <si>
    <t>[[ 2  0]
 [ 4 21]]</t>
  </si>
  <si>
    <t>[[235  14]
 [  9 332]]</t>
  </si>
  <si>
    <t>[[232  17]
 [ 14 327]]</t>
  </si>
  <si>
    <t>[[232  17]
 [ 10 331]]</t>
  </si>
  <si>
    <t>[[237  12]
 [ 16 325]]</t>
  </si>
  <si>
    <t>[[236  13]
 [  6 335]]</t>
  </si>
  <si>
    <t>[[237  12]
 [ 11 330]]</t>
  </si>
  <si>
    <t>[[222  27]
 [ 10 331]]</t>
  </si>
  <si>
    <t>[[182  67]
 [ 67 274]]</t>
  </si>
  <si>
    <t>[[282  14]
 [ 11 351]]</t>
  </si>
  <si>
    <t>[[262  34]
 [ 14 348]]</t>
  </si>
  <si>
    <t>[[280  16]
 [ 21 341]]</t>
  </si>
  <si>
    <t>[[280  16]
 [ 16 346]]</t>
  </si>
  <si>
    <t>[[284  12]
 [ 10 352]]</t>
  </si>
  <si>
    <t>[[281  15]
 [ 13 349]]</t>
  </si>
  <si>
    <t>[[265  31]
 [ 19 343]]</t>
  </si>
  <si>
    <t>[[196 100]
 [ 77 285]]</t>
  </si>
  <si>
    <t>[[45  5]
 [ 7 76]]</t>
  </si>
  <si>
    <t>[[40 10]
 [ 8 75]]</t>
  </si>
  <si>
    <t>[[41  9]
 [10 73]]</t>
  </si>
  <si>
    <t>[[44  6]
 [13 70]]</t>
  </si>
  <si>
    <t>[[47  3]
 [ 5 78]]</t>
  </si>
  <si>
    <t>[[47  3]
 [ 6 77]]</t>
  </si>
  <si>
    <t>[[42  8]
 [ 2 81]]</t>
  </si>
  <si>
    <t>[[46  4]
 [22 61]]</t>
  </si>
  <si>
    <t>[[276  18]
 [ 17 393]]</t>
  </si>
  <si>
    <t>[[273  21]
 [ 25 385]]</t>
  </si>
  <si>
    <t>[[269  25]
 [ 33 377]]</t>
  </si>
  <si>
    <t>[[276  18]
 [ 20 390]]</t>
  </si>
  <si>
    <t>[[283  11]
 [  7 403]]</t>
  </si>
  <si>
    <t>[[275  19]
 [ 17 393]]</t>
  </si>
  <si>
    <t>[[256  38]
 [ 12 398]]</t>
  </si>
  <si>
    <t>[[203  91]
 [ 73 337]]</t>
  </si>
  <si>
    <t>{'Flaky': {'precision': 0.9563492063492064, 'recall': 0.9525691699604744, 'f1-score': 0.9544554455445546, 'support': 253.0}, 'NonFlaky': {'precision': 0.9625, 'recall': 0.9655172413793104, 'f1-score': 0.9640062597809077, 'support': 319.0}, 'accuracy': 0.9597902097902098, 'macro avg': {'precision': 0.9594246031746032, 'recall': 0.9590432056698923, 'f1-score': 0.9592308526627311, 'support': 572.0}, 'weighted avg': {'precision': 0.9597794566544569, 'recall': 0.9597902097902098, 'f1-score': 0.9597818611763669, 'support': 572.0}}</t>
  </si>
  <si>
    <t>{'Flaky': {'precision': 0.9305019305019305, 'recall': 0.9525691699604744, 'f1-score': 0.9414062500000001, 'support': 253.0}, 'NonFlaky': {'precision': 0.9616613418530351, 'recall': 0.9435736677115988, 'f1-score': 0.9525316455696203, 'support': 319.0}, 'accuracy': 0.9475524475524476, 'macro avg': {'precision': 0.9460816361774829, 'recall': 0.9480714188360366, 'f1-score': 0.9469689477848102, 'support': 572.0}, 'weighted avg': {'precision': 0.947879294524662, 'recall': 0.9475524475524476, 'f1-score': 0.9476107975292114, 'support': 572.0}}</t>
  </si>
  <si>
    <t>{'Flaky': {'precision': 0.9568627450980393, 'recall': 0.9644268774703557, 'f1-score': 0.9606299212598426, 'support': 253.0}, 'NonFlaky': {'precision': 0.9716088328075709, 'recall': 0.9655172413793104, 'f1-score': 0.968553459119497, 'support': 319.0}, 'accuracy': 0.965034965034965, 'macro avg': {'precision': 0.964235788952805, 'recall': 0.964972059424833, 'f1-score': 0.9645916901896698, 'support': 572.0}, 'weighted avg': {'precision': 0.9650865247822011, 'recall': 0.965034965034965, 'f1-score': 0.9650488173738806, 'support': 572.0}}</t>
  </si>
  <si>
    <t>{'Flaky': {'precision': 0.9748953974895398, 'recall': 0.9209486166007905, 'f1-score': 0.9471544715447155, 'support': 253.0}, 'NonFlaky': {'precision': 0.93993993993994, 'recall': 0.9811912225705329, 'f1-score': 0.960122699386503, 'support': 319.0}, 'accuracy': 0.9545454545454546, 'macro avg': {'precision': 0.9574176687147399, 'recall': 0.9510699195856618, 'f1-score': 0.9536385854656093, 'support': 572.0}, 'weighted avg': {'precision': 0.955401007702263, 'recall': 0.9545454545454546, 'f1-score': 0.9543867524564816, 'support': 572.0}}</t>
  </si>
  <si>
    <t>{'Flaky': {'precision': 0.9603174603174603, 'recall': 0.9565217391304348, 'f1-score': 0.9584158415841585, 'support': 253.0}, 'NonFlaky': {'precision': 0.965625, 'recall': 0.9686520376175548, 'f1-score': 0.9671361502347419, 'support': 319.0}, 'accuracy': 0.9632867132867133, 'macro avg': {'precision': 0.9629712301587301, 'recall': 0.9625868883739948, 'f1-score': 0.9627759959094502, 'support': 572.0}, 'weighted avg': {'precision': 0.9632774343711845, 'recall': 0.9632867132867133, 'f1-score': 0.9632790906392915, 'support': 572.0}}</t>
  </si>
  <si>
    <t>{'Flaky': {'precision': 0.975103734439834, 'recall': 0.9288537549407114, 'f1-score': 0.9514170040485829, 'support': 253.0}, 'NonFlaky': {'precision': 0.945619335347432, 'recall': 0.9811912225705329, 'f1-score': 0.9630769230769232, 'support': 319.0}, 'accuracy': 0.958041958041958, 'macro avg': {'precision': 0.960361534893633, 'recall': 0.9550224887556222, 'f1-score': 0.957246963562753, 'support': 572.0}, 'weighted avg': {'precision': 0.9586605118690713, 'recall': 0.958041958041958, 'f1-score': 0.9579196511990035, 'support': 572.0}}</t>
  </si>
  <si>
    <t>{'Flaky': {'precision': 0.9696969696969697, 'recall': 0.8853754940711462, 'f1-score': 0.9256198347107437, 'support': 253.0}, 'NonFlaky': {'precision': 0.9149560117302052, 'recall': 0.9780564263322884, 'f1-score': 0.9454545454545454, 'support': 319.0}, 'accuracy': 0.9370629370629371, 'macro avg': {'precision': 0.9423264907135875, 'recall': 0.9317159602017173, 'f1-score': 0.9355371900826446, 'support': 572.0}, 'weighted avg': {'precision': 0.9391683585231974, 'recall': 0.9370629370629371, 'f1-score': 0.9366815003178639, 'support': 572.0}}</t>
  </si>
  <si>
    <t>{'Flaky': {'precision': 0.7675438596491229, 'recall': 0.691699604743083, 'f1-score': 0.7276507276507277, 'support': 253.0}, 'NonFlaky': {'precision': 0.7732558139534884, 'recall': 0.8338557993730408, 'f1-score': 0.8024132730015083, 'support': 319.0}, 'accuracy': 0.7709790209790209, 'macro avg': {'precision': 0.7703998368013056, 'recall': 0.762777702058062, 'f1-score': 0.765032000326118, 'support': 572.0}, 'weighted avg': {'precision': 0.7707293726265575, 'recall': 0.7709790209790209, 'f1-score': 0.7693452240963554, 'support': 572.0}}</t>
  </si>
  <si>
    <t>{'Flaky': {'precision': 0.8620689655172413, 'recall': 1.0, 'f1-score': 0.9259259259259259, 'support': 25.0}, 'NonFlaky': {'precision': 1.0, 'recall': 0.8947368421052632, 'f1-score': 0.9444444444444444, 'support': 38.0}, 'accuracy': 0.9365079365079365, 'macro avg': {'precision': 0.9310344827586207, 'recall': 0.9473684210526316, 'f1-score': 0.9351851851851851, 'support': 63.0}, 'weighted avg': {'precision': 0.9452654625068417, 'recall': 0.9365079365079365, 'f1-score': 0.9370958259847149, 'support': 63.0}}</t>
  </si>
  <si>
    <t>{'Flaky': {'precision': 0.8064516129032258, 'recall': 1.0, 'f1-score': 0.8928571428571428, 'support': 25.0}, 'NonFlaky': {'precision': 1.0, 'recall': 0.8421052631578947, 'f1-score': 0.9142857142857143, 'support': 38.0}, 'accuracy': 0.9047619047619048, 'macro avg': {'precision': 0.9032258064516129, 'recall': 0.9210526315789473, 'f1-score': 0.9035714285714285, 'support': 63.0}, 'weighted avg': {'precision': 0.923195084485407, 'recall': 0.9047619047619048, 'f1-score': 0.90578231292517, 'support': 63.0}}</t>
  </si>
  <si>
    <t>{'Flaky': {'precision': 0.96, 'recall': 0.96, 'f1-score': 0.96, 'support': 25.0}, 'NonFlaky': {'precision': 0.9736842105263158, 'recall': 0.9736842105263158, 'f1-score': 0.9736842105263158, 'support': 38.0}, 'accuracy': 0.9682539682539683, 'macro avg': {'precision': 0.966842105263158, 'recall': 0.966842105263158, 'f1-score': 0.966842105263158, 'support': 63.0}, 'weighted avg': {'precision': 0.9682539682539683, 'recall': 0.9682539682539683, 'f1-score': 0.9682539682539683, 'support': 63.0}}</t>
  </si>
  <si>
    <t>{'Flaky': {'precision': 1.0, 'recall': 1.0, 'f1-score': 1.0, 'support': 25.0}, 'NonFlaky': {'precision': 1.0, 'recall': 1.0, 'f1-score': 1.0, 'support': 38.0}, 'accuracy': 1.0, 'macro avg': {'precision': 1.0, 'recall': 1.0, 'f1-score': 1.0, 'support': 63.0}, 'weighted avg': {'precision': 1.0, 'recall': 1.0, 'f1-score': 1.0, 'support': 63.0}}</t>
  </si>
  <si>
    <t>{'Flaky': {'precision': 0.8928571428571429, 'recall': 1.0, 'f1-score': 0.9433962264150945, 'support': 25.0}, 'NonFlaky': {'precision': 1.0, 'recall': 0.9210526315789473, 'f1-score': 0.958904109589041, 'support': 38.0}, 'accuracy': 0.9523809523809523, 'macro avg': {'precision': 0.9464285714285714, 'recall': 0.9605263157894737, 'f1-score': 0.9511501680020678, 'support': 63.0}, 'weighted avg': {'precision': 0.9574829931972789, 'recall': 0.9523809523809523, 'f1-score': 0.9527501876946178, 'support': 63.0}}</t>
  </si>
  <si>
    <t>{'Flaky': {'precision': 0.8, 'recall': 0.64, 'f1-score': 0.7111111111111111, 'support': 25.0}, 'NonFlaky': {'precision': 0.7906976744186046, 'recall': 0.8947368421052632, 'f1-score': 0.8395061728395061, 'support': 38.0}, 'accuracy': 0.7936507936507936, 'macro avg': {'precision': 0.7953488372093023, 'recall': 0.7673684210526316, 'f1-score': 0.7753086419753086, 'support': 63.0}, 'weighted avg': {'precision': 0.7943890734588409, 'recall': 0.7936507936507936, 'f1-score': 0.7885557515187145, 'support': 63.0}}</t>
  </si>
  <si>
    <t>{'Flaky': {'precision': 1.0, 'recall': 0.75, 'f1-score': 0.8571428571428571, 'support': 4.0}, 'NonFlaky': {'precision': 0.9523809523809523, 'recall': 1.0, 'f1-score': 0.975609756097561, 'support': 20.0}, 'accuracy': 0.9583333333333334, 'macro avg': {'precision': 0.9761904761904762, 'recall': 0.875, 'f1-score': 0.9163763066202091, 'support': 24.0}, 'weighted avg': {'precision': 0.9603174603174603, 'recall': 0.9583333333333334, 'f1-score': 0.9558652729384436, 'support': 24.0}}</t>
  </si>
  <si>
    <t>{'Flaky': {'precision': 1.0, 'recall': 0.5, 'f1-score': 0.6666666666666666, 'support': 4.0}, 'NonFlaky': {'precision': 0.9090909090909091, 'recall': 1.0, 'f1-score': 0.9523809523809523, 'support': 20.0}, 'accuracy': 0.9166666666666666, 'macro avg': {'precision': 0.9545454545454546, 'recall': 0.75, 'f1-score': 0.8095238095238095, 'support': 24.0}, 'weighted avg': {'precision': 0.9242424242424242, 'recall': 0.9166666666666666, 'f1-score': 0.9047619047619048, 'support': 24.0}}</t>
  </si>
  <si>
    <t>{'Flaky': {'precision': 0.5, 'recall': 1.0, 'f1-score': 0.6666666666666666, 'support': 4.0}, 'NonFlaky': {'precision': 1.0, 'recall': 0.8, 'f1-score': 0.888888888888889, 'support': 20.0}, 'accuracy': 0.8333333333333334, 'macro avg': {'precision': 0.75, 'recall': 0.9, 'f1-score': 0.7777777777777778, 'support': 24.0}, 'weighted avg': {'precision': 0.9166666666666666, 'recall': 0.8333333333333334, 'f1-score': 0.851851851851852, 'support': 24.0}}</t>
  </si>
  <si>
    <t>{'Flaky': {'precision': 0.2727272727272727, 'recall': 0.75, 'f1-score': 0.39999999999999997, 'support': 4.0}, 'NonFlaky': {'precision': 0.9230769230769231, 'recall': 0.6, 'f1-score': 0.7272727272727274, 'support': 20.0}, 'accuracy': 0.625, 'macro avg': {'precision': 0.5979020979020979, 'recall': 0.675, 'f1-score': 0.5636363636363637, 'support': 24.0}, 'weighted avg': {'precision': 0.8146853146853147, 'recall': 0.625, 'f1-score': 0.6727272727272728, 'support': 24.0}}</t>
  </si>
  <si>
    <t>{'Flaky': {'precision': 1.0, 'recall': 1.0, 'f1-score': 1.0, 'support': 2.0}, 'NonFlaky': {'precision': 1.0, 'recall': 1.0, 'f1-score': 1.0, 'support': 25.0}, 'accuracy': 1.0, 'macro avg': {'precision': 1.0, 'recall': 1.0, 'f1-score': 1.0, 'support': 27.0}, 'weighted avg': {'precision': 1.0, 'recall': 1.0, 'f1-score': 1.0, 'support': 27.0}}</t>
  </si>
  <si>
    <t>{'Flaky': {'precision': 1.0, 'recall': 0.5, 'f1-score': 0.6666666666666666, 'support': 2.0}, 'NonFlaky': {'precision': 0.9615384615384616, 'recall': 1.0, 'f1-score': 0.9803921568627451, 'support': 25.0}, 'accuracy': 0.9629629629629629, 'macro avg': {'precision': 0.9807692307692308, 'recall': 0.75, 'f1-score': 0.8235294117647058, 'support': 27.0}, 'weighted avg': {'precision': 0.9643874643874645, 'recall': 0.9629629629629629, 'f1-score': 0.9571532316630355, 'support': 27.0}}</t>
  </si>
  <si>
    <t>{'Flaky': {'precision': 0.3333333333333333, 'recall': 0.5, 'f1-score': 0.4, 'support': 2.0}, 'NonFlaky': {'precision': 0.9583333333333334, 'recall': 0.92, 'f1-score': 0.9387755102040817, 'support': 25.0}, 'accuracy': 0.8888888888888888, 'macro avg': {'precision': 0.6458333333333334, 'recall': 0.71, 'f1-score': 0.6693877551020408, 'support': 27.0}, 'weighted avg': {'precision': 0.9120370370370372, 'recall': 0.8888888888888888, 'f1-score': 0.8988662131519275, 'support': 27.0}}</t>
  </si>
  <si>
    <t>{'Flaky': {'precision': 0.3333333333333333, 'recall': 1.0, 'f1-score': 0.5, 'support': 2.0}, 'NonFlaky': {'precision': 1.0, 'recall': 0.84, 'f1-score': 0.9130434782608696, 'support': 25.0}, 'accuracy': 0.8518518518518519, 'macro avg': {'precision': 0.6666666666666666, 'recall': 0.9199999999999999, 'f1-score': 0.7065217391304348, 'support': 27.0}, 'weighted avg': {'precision': 0.9506172839506173, 'recall': 0.8518518518518519, 'f1-score': 0.8824476650563609, 'support': 27.0}}</t>
  </si>
  <si>
    <t>{'Flaky': {'precision': 0.9631147540983607, 'recall': 0.9437751004016064, 'f1-score': 0.9533468559837729, 'support': 249.0}, 'NonFlaky': {'precision': 0.9595375722543352, 'recall': 0.9736070381231672, 'f1-score': 0.9665211062590976, 'support': 341.0}, 'accuracy': 0.9610169491525423, 'macro avg': {'precision': 0.9613261631763479, 'recall': 0.9586910692623868, 'f1-score': 0.9599339811214352, 'support': 590.0}, 'weighted avg': {'precision': 0.9610472642529154, 'recall': 0.9610169491525423, 'f1-score': 0.9609611260581554, 'support': 590.0}}</t>
  </si>
  <si>
    <t>{'Flaky': {'precision': 0.943089430894309, 'recall': 0.9317269076305221, 'f1-score': 0.9373737373737374, 'support': 249.0}, 'NonFlaky': {'precision': 0.9505813953488372, 'recall': 0.9589442815249267, 'f1-score': 0.9547445255474453, 'support': 341.0}, 'accuracy': 0.9474576271186441, 'macro avg': {'precision': 0.946835413121573, 'recall': 0.9453355945777244, 'f1-score': 0.9460591314605913, 'support': 590.0}, 'weighted avg': {'precision': 0.9474195323841296, 'recall': 0.9474576271186441, 'f1-score': 0.9474134640978635, 'support': 590.0}}</t>
  </si>
  <si>
    <t>{'Flaky': {'precision': 0.9586776859504132, 'recall': 0.9317269076305221, 'f1-score': 0.9450101832993891, 'support': 249.0}, 'NonFlaky': {'precision': 0.9511494252873564, 'recall': 0.9706744868035191, 'f1-score': 0.9608127721335269, 'support': 341.0}, 'accuracy': 0.9542372881355933, 'macro avg': {'precision': 0.9549135556188848, 'recall': 0.9512006972170206, 'f1-score': 0.952911477716458, 'support': 590.0}, 'weighted avg': {'precision': 0.954326606482443, 'recall': 0.9542372881355933, 'f1-score': 0.9541435439645434, 'support': 590.0}}</t>
  </si>
  <si>
    <t>{'Flaky': {'precision': 0.9367588932806324, 'recall': 0.9518072289156626, 'f1-score': 0.9442231075697212, 'support': 249.0}, 'NonFlaky': {'precision': 0.9643916913946587, 'recall': 0.9530791788856305, 'f1-score': 0.9587020648967551, 'support': 341.0}, 'accuracy': 0.9525423728813559, 'macro avg': {'precision': 0.9505752923376456, 'recall': 0.9524432039006465, 'f1-score': 0.9514625862332382, 'support': 590.0}, 'weighted avg': {'precision': 0.9527297138855187, 'recall': 0.9525423728813559, 'f1-score': 0.9525914540926339, 'support': 590.0}}</t>
  </si>
  <si>
    <t>{'Flaky': {'precision': 0.9752066115702479, 'recall': 0.9477911646586346, 'f1-score': 0.9613034623217922, 'support': 249.0}, 'NonFlaky': {'precision': 0.9626436781609196, 'recall': 0.9824046920821115, 'f1-score': 0.972423802612482, 'support': 341.0}, 'accuracy': 0.9677966101694915, 'macro avg': {'precision': 0.9689251448655838, 'recall': 0.965097928370373, 'f1-score': 0.9668636324671371, 'support': 590.0}, 'weighted avg': {'precision': 0.9679456619218056, 'recall': 0.9677966101694915, 'f1-score': 0.9677306420491231, 'support': 590.0}}</t>
  </si>
  <si>
    <t>{'Flaky': {'precision': 0.9556451612903226, 'recall': 0.9518072289156626, 'f1-score': 0.9537223340040242, 'support': 249.0}, 'NonFlaky': {'precision': 0.9649122807017544, 'recall': 0.967741935483871, 'f1-score': 0.9663250366032212, 'support': 341.0}, 'accuracy': 0.9610169491525423, 'macro avg': {'precision': 0.9602787209960385, 'recall': 0.9597745821997667, 'f1-score': 0.9600236853036227, 'support': 590.0}, 'weighted avg': {'precision': 0.9610012421704891, 'recall': 0.9610169491525423, 'f1-score': 0.9610062688961025, 'support': 590.0}}</t>
  </si>
  <si>
    <t>{'Flaky': {'precision': 0.9568965517241379, 'recall': 0.891566265060241, 'f1-score': 0.923076923076923, 'support': 249.0}, 'NonFlaky': {'precision': 0.9245810055865922, 'recall': 0.9706744868035191, 'f1-score': 0.9470672389127325, 'support': 341.0}, 'accuracy': 0.9372881355932203, 'macro avg': {'precision': 0.940738778655365, 'recall': 0.93112037593188, 'f1-score': 0.9350720809948277, 'support': 590.0}, 'weighted avg': {'precision': 0.9382192614988784, 'recall': 0.9372881355932203, 'f1-score': 0.9369425123989757, 'support': 590.0}}</t>
  </si>
  <si>
    <t>{'Flaky': {'precision': 0.7309236947791165, 'recall': 0.7309236947791165, 'f1-score': 0.7309236947791165, 'support': 249.0}, 'NonFlaky': {'precision': 0.8035190615835777, 'recall': 0.8035190615835777, 'f1-score': 0.8035190615835777, 'support': 341.0}, 'accuracy': 0.7728813559322034, 'macro avg': {'precision': 0.7672213781813471, 'recall': 0.7672213781813471, 'f1-score': 0.7672213781813471, 'support': 590.0}, 'weighted avg': {'precision': 0.7728813559322034, 'recall': 0.7728813559322034, 'f1-score': 0.7728813559322034, 'support': 590.0}}</t>
  </si>
  <si>
    <t>{'Flaky': {'precision': 0.962457337883959, 'recall': 0.9527027027027027, 'f1-score': 0.9575551782682513, 'support': 296.0}, 'NonFlaky': {'precision': 0.9616438356164384, 'recall': 0.9696132596685083, 'f1-score': 0.9656121045392022, 'support': 362.0}, 'accuracy': 0.9620060790273556, 'macro avg': {'precision': 0.9620505867501987, 'recall': 0.9611579811856055, 'f1-score': 0.9615836414037268, 'support': 658.0}, 'weighted avg': {'precision': 0.9620097880042593, 'recall': 0.9620060790273556, 'f1-score': 0.9619877121741545, 'support': 658.0}}</t>
  </si>
  <si>
    <t>{'Flaky': {'precision': 0.9492753623188406, 'recall': 0.8851351351351351, 'f1-score': 0.916083916083916, 'support': 296.0}, 'NonFlaky': {'precision': 0.9109947643979057, 'recall': 0.9613259668508287, 'f1-score': 0.9354838709677419, 'support': 362.0}, 'accuracy': 0.9270516717325228, 'macro avg': {'precision': 0.9301350633583731, 'recall': 0.9232305509929819, 'f1-score': 0.9257838935258289, 'support': 658.0}, 'weighted avg': {'precision': 0.9282152157422777, 'recall': 0.9270516717325228, 'f1-score': 0.9267568395914312, 'support': 658.0}}</t>
  </si>
  <si>
    <t>{'Flaky': {'precision': 0.9302325581395349, 'recall': 0.9459459459459459, 'f1-score': 0.9380234505862647, 'support': 296.0}, 'NonFlaky': {'precision': 0.9551820728291317, 'recall': 0.9419889502762431, 'f1-score': 0.9485396383866481, 'support': 362.0}, 'accuracy': 0.9437689969604863, 'macro avg': {'precision': 0.9427073154843333, 'recall': 0.9439674481110945, 'f1-score': 0.9432815444864564, 'support': 658.0}, 'weighted avg': {'precision': 0.9439585829383708, 'recall': 0.9437689969604863, 'f1-score': 0.9438089520813084, 'support': 658.0}}</t>
  </si>
  <si>
    <t>{'Flaky': {'precision': 0.9459459459459459, 'recall': 0.9459459459459459, 'f1-score': 0.9459459459459459, 'support': 296.0}, 'NonFlaky': {'precision': 0.9558011049723757, 'recall': 0.9558011049723757, 'f1-score': 0.9558011049723757, 'support': 362.0}, 'accuracy': 0.9513677811550152, 'macro avg': {'precision': 0.9508735254591608, 'recall': 0.9508735254591608, 'f1-score': 0.9508735254591608, 'support': 658.0}, 'weighted avg': {'precision': 0.9513677811550152, 'recall': 0.9513677811550152, 'f1-score': 0.9513677811550152, 'support': 658.0}}</t>
  </si>
  <si>
    <t>{'Flaky': {'precision': 0.9659863945578231, 'recall': 0.9594594594594594, 'f1-score': 0.9627118644067796, 'support': 296.0}, 'NonFlaky': {'precision': 0.967032967032967, 'recall': 0.9723756906077348, 'f1-score': 0.9696969696969698, 'support': 362.0}, 'accuracy': 0.9665653495440729, 'macro avg': {'precision': 0.966509680795395, 'recall': 0.9659175750335971, 'f1-score': 0.9662044170518747, 'support': 658.0}, 'weighted avg': {'precision': 0.9665621684727199, 'recall': 0.9665653495440729, 'f1-score': 0.9665547338825378, 'support': 658.0}}</t>
  </si>
  <si>
    <t>{'Flaky': {'precision': 0.95578231292517, 'recall': 0.9493243243243243, 'f1-score': 0.9525423728813558, 'support': 296.0}, 'NonFlaky': {'precision': 0.9587912087912088, 'recall': 0.9640883977900553, 'f1-score': 0.9614325068870523, 'support': 362.0}, 'accuracy': 0.9574468085106383, 'macro avg': {'precision': 0.9572867608581894, 'recall': 0.9567063610571898, 'f1-score': 0.956987439884204, 'support': 658.0}, 'weighted avg': {'precision': 0.9574376629304983, 'recall': 0.9574468085106383, 'f1-score': 0.9574332976686843, 'support': 658.0}}</t>
  </si>
  <si>
    <t>{'Flaky': {'precision': 0.9330985915492958, 'recall': 0.8952702702702703, 'f1-score': 0.9137931034482758, 'support': 296.0}, 'NonFlaky': {'precision': 0.9171122994652406, 'recall': 0.9475138121546961, 'f1-score': 0.9320652173913043, 'support': 362.0}, 'accuracy': 0.9240121580547113, 'macro avg': {'precision': 0.9251054455072683, 'recall': 0.9213920412124832, 'f1-score': 0.92292916041979, 'support': 658.0}, 'weighted avg': {'precision': 0.924303701375393, 'recall': 0.9240121580547113, 'f1-score': 0.923845543033954, 'support': 658.0}}</t>
  </si>
  <si>
    <t>{'Flaky': {'precision': 0.717948717948718, 'recall': 0.6621621621621622, 'f1-score': 0.6889279437609842, 'support': 296.0}, 'NonFlaky': {'precision': 0.7402597402597403, 'recall': 0.787292817679558, 'f1-score': 0.7630522088353414, 'support': 362.0}, 'accuracy': 0.7310030395136778, 'macro avg': {'precision': 0.7291042291042291, 'recall': 0.7247274899208601, 'f1-score': 0.7259900762981628, 'support': 658.0}, 'weighted avg': {'precision': 0.7302231709526542, 'recall': 0.7310030395136778, 'f1-score': 0.7297075546377584, 'support': 658.0}}</t>
  </si>
  <si>
    <t>{'Flaky': {'precision': 0.8653846153846154, 'recall': 0.9, 'f1-score': 0.8823529411764707, 'support': 50.0}, 'NonFlaky': {'precision': 0.9382716049382716, 'recall': 0.9156626506024096, 'f1-score': 0.9268292682926829, 'support': 83.0}, 'accuracy': 0.9097744360902256, 'macro avg': {'precision': 0.9018281101614435, 'recall': 0.9078313253012048, 'f1-score': 0.9045911047345767, 'support': 133.0}, 'weighted avg': {'precision': 0.9108704810459197, 'recall': 0.9097744360902256, 'f1-score': 0.9101088445647836, 'support': 133.0}}</t>
  </si>
  <si>
    <t>{'Flaky': {'precision': 0.8333333333333334, 'recall': 0.8, 'f1-score': 0.816326530612245, 'support': 50.0}, 'NonFlaky': {'precision': 0.8823529411764706, 'recall': 0.9036144578313253, 'f1-score': 0.8928571428571428, 'support': 83.0}, 'accuracy': 0.8646616541353384, 'macro avg': {'precision': 0.857843137254902, 'recall': 0.8518072289156626, 'f1-score': 0.8545918367346939, 'support': 133.0}, 'weighted avg': {'precision': 0.8639245171752912, 'recall': 0.8646616541353384, 'f1-score': 0.8640862359981586, 'support': 133.0}}</t>
  </si>
  <si>
    <t>{'Flaky': {'precision': 0.803921568627451, 'recall': 0.82, 'f1-score': 0.8118811881188118, 'support': 50.0}, 'NonFlaky': {'precision': 0.8902439024390244, 'recall': 0.8795180722891566, 'f1-score': 0.8848484848484849, 'support': 83.0}, 'accuracy': 0.8571428571428571, 'macro avg': {'precision': 0.8470827355332378, 'recall': 0.8497590361445783, 'f1-score': 0.8483648364836484, 'support': 133.0}, 'weighted avg': {'precision': 0.8577918972467036, 'recall': 0.8571428571428571, 'f1-score': 0.8574171702884575, 'support': 133.0}}</t>
  </si>
  <si>
    <t>{'Flaky': {'precision': 0.7719298245614035, 'recall': 0.88, 'f1-score': 0.822429906542056, 'support': 50.0}, 'NonFlaky': {'precision': 0.9210526315789473, 'recall': 0.8433734939759037, 'f1-score': 0.8805031446540881, 'support': 83.0}, 'accuracy': 0.8571428571428571, 'macro avg': {'precision': 0.8464912280701754, 'recall': 0.8616867469879519, 'f1-score': 0.851466525598072, 'support': 133.0}, 'weighted avg': {'precision': 0.8649914259332541, 'recall': 0.8571428571428571, 'f1-score': 0.8586711002510685, 'support': 133.0}}</t>
  </si>
  <si>
    <t>{'Flaky': {'precision': 0.9038461538461539, 'recall': 0.94, 'f1-score': 0.9215686274509804, 'support': 50.0}, 'NonFlaky': {'precision': 0.9629629629629629, 'recall': 0.9397590361445783, 'f1-score': 0.9512195121951219, 'support': 83.0}, 'accuracy': 0.9398496240601504, 'macro avg': {'precision': 0.9334045584045584, 'recall': 0.9398795180722892, 'f1-score': 0.9363940698230512, 'support': 133.0}, 'weighted avg': {'precision': 0.9407385986333354, 'recall': 0.9398496240601504, 'f1-score': 0.9400725630431891, 'support': 133.0}}</t>
  </si>
  <si>
    <t>{'Flaky': {'precision': 0.8867924528301887, 'recall': 0.94, 'f1-score': 0.912621359223301, 'support': 50.0}, 'NonFlaky': {'precision': 0.9625, 'recall': 0.927710843373494, 'f1-score': 0.9447852760736196, 'support': 83.0}, 'accuracy': 0.9323308270676691, 'macro avg': {'precision': 0.9246462264150943, 'recall': 0.933855421686747, 'f1-score': 0.9287033176484603, 'support': 133.0}, 'weighted avg': {'precision': 0.9340385161015747, 'recall': 0.9323308270676691, 'f1-score': 0.9326935780095901, 'support': 133.0}}</t>
  </si>
  <si>
    <t>{'Flaky': {'precision': 0.9545454545454546, 'recall': 0.84, 'f1-score': 0.8936170212765958, 'support': 50.0}, 'NonFlaky': {'precision': 0.9101123595505618, 'recall': 0.9759036144578314, 'f1-score': 0.9418604651162792, 'support': 83.0}, 'accuracy': 0.924812030075188, 'macro avg': {'precision': 0.9323289070480082, 'recall': 0.9079518072289157, 'f1-score': 0.9177387431964374, 'support': 133.0}, 'weighted avg': {'precision': 0.9268165306012733, 'recall': 0.924812030075188, 'f1-score': 0.9237238320938418, 'support': 133.0}}</t>
  </si>
  <si>
    <t>{'Flaky': {'precision': 0.6764705882352942, 'recall': 0.92, 'f1-score': 0.7796610169491526, 'support': 50.0}, 'NonFlaky': {'precision': 0.9384615384615385, 'recall': 0.7349397590361446, 'f1-score': 0.8243243243243243, 'support': 83.0}, 'accuracy': 0.8045112781954887, 'macro avg': {'precision': 0.8074660633484163, 'recall': 0.8274698795180724, 'f1-score': 0.8019926706367384, 'support': 133.0}, 'weighted avg': {'precision': 0.8399687000306196, 'recall': 0.8045112781954887, 'f1-score': 0.807533607265989, 'support': 133.0}}</t>
  </si>
  <si>
    <t>{'Flaky': {'precision': 0.9419795221843004, 'recall': 0.9387755102040817, 'f1-score': 0.940374787052811, 'support': 294.0}, 'NonFlaky': {'precision': 0.9562043795620438, 'recall': 0.9585365853658536, 'f1-score': 0.9573690621193667, 'support': 410.0}, 'accuracy': 0.9502840909090909, 'macro avg': {'precision': 0.9490919508731721, 'recall': 0.9486560477849677, 'f1-score': 0.9488719245860888, 'support': 704.0}, 'weighted avg': {'precision': 0.9502638851457703, 'recall': 0.9502840909090909, 'f1-score': 0.9502720211114585, 'support': 704.0}}</t>
  </si>
  <si>
    <t>{'Flaky': {'precision': 0.9161073825503355, 'recall': 0.9285714285714286, 'f1-score': 0.9222972972972974, 'support': 294.0}, 'NonFlaky': {'precision': 0.9482758620689655, 'recall': 0.9390243902439024, 'f1-score': 0.9436274509803921, 'support': 410.0}, 'accuracy': 0.9346590909090909, 'macro avg': {'precision': 0.9321916223096505, 'recall': 0.9337979094076655, 'f1-score': 0.9329623741388448, 'support': 704.0}, 'weighted avg': {'precision': 0.9348418663609014, 'recall': 0.9346590909090909, 'f1-score': 0.9347196879365997, 'support': 704.0}}</t>
  </si>
  <si>
    <t>{'Flaky': {'precision': 0.890728476821192, 'recall': 0.9149659863945578, 'f1-score': 0.9026845637583892, 'support': 294.0}, 'NonFlaky': {'precision': 0.9378109452736318, 'recall': 0.9195121951219513, 'f1-score': 0.9285714285714285, 'support': 410.0}, 'accuracy': 0.9176136363636364, 'macro avg': {'precision': 0.914269711047412, 'recall': 0.9172390907582546, 'f1-score': 0.9156279961649089, 'support': 704.0}, 'weighted avg': {'precision': 0.9181486644142322, 'recall': 0.9176136363636364, 'f1-score': 0.9177607208228014, 'support': 704.0}}</t>
  </si>
  <si>
    <t>{'Flaky': {'precision': 0.9324324324324325, 'recall': 0.9387755102040817, 'f1-score': 0.9355932203389831, 'support': 294.0}, 'NonFlaky': {'precision': 0.9558823529411765, 'recall': 0.9512195121951219, 'f1-score': 0.9535452322738386, 'support': 410.0}, 'accuracy': 0.9460227272727273, 'macro avg': {'precision': 0.9441573926868045, 'recall': 0.9449975111996018, 'f1-score': 0.9445692263064108, 'support': 704.0}, 'weighted avg': {'precision': 0.9460893463650817, 'recall': 0.9460227272727273, 'f1-score': 0.9460482272896801, 'support': 704.0}}</t>
  </si>
  <si>
    <t>{'Flaky': {'precision': 0.9758620689655172, 'recall': 0.9625850340136054, 'f1-score': 0.9691780821917808, 'support': 294.0}, 'NonFlaky': {'precision': 0.9734299516908212, 'recall': 0.9829268292682927, 'f1-score': 0.9781553398058253, 'support': 410.0}, 'accuracy': 0.9744318181818182, 'macro avg': {'precision': 0.9746460103281692, 'recall': 0.9727559316409491, 'f1-score': 0.9736667109988031, 'support': 704.0}, 'weighted avg': {'precision': 0.9744456370299698, 'recall': 0.9744318181818182, 'f1-score': 0.974406314609051, 'support': 704.0}}</t>
  </si>
  <si>
    <t>{'Flaky': {'precision': 0.9417808219178082, 'recall': 0.935374149659864, 'f1-score': 0.938566552901024, 'support': 294.0}, 'NonFlaky': {'precision': 0.9538834951456311, 'recall': 0.9585365853658536, 'f1-score': 0.9562043795620438, 'support': 410.0}, 'accuracy': 0.9488636363636364, 'macro avg': {'precision': 0.9478321585317196, 'recall': 0.9469553675128588, 'f1-score': 0.947385466231534, 'support': 704.0}, 'weighted avg': {'precision': 0.9488292537692392, 'recall': 0.9488636363636364, 'f1-score': 0.9488385826325838, 'support': 704.0}}</t>
  </si>
  <si>
    <t>{'Flaky': {'precision': 0.9552238805970149, 'recall': 0.8707482993197279, 'f1-score': 0.9110320284697508, 'support': 294.0}, 'NonFlaky': {'precision': 0.9128440366972477, 'recall': 0.9707317073170731, 'f1-score': 0.9408983451536642, 'support': 410.0}, 'accuracy': 0.9289772727272727, 'macro avg': {'precision': 0.9340339586471313, 'recall': 0.9207400033184006, 'f1-score': 0.9259651868117076, 'support': 704.0}, 'weighted avg': {'precision': 0.9305424374167527, 'recall': 0.9289772727272727, 'f1-score': 0.9284257640385072, 'support': 704.0}}</t>
  </si>
  <si>
    <t>{'Flaky': {'precision': 0.7355072463768116, 'recall': 0.6904761904761905, 'f1-score': 0.712280701754386, 'support': 294.0}, 'NonFlaky': {'precision': 0.7873831775700935, 'recall': 0.8219512195121951, 'f1-score': 0.8042959427207637, 'support': 410.0}, 'accuracy': 0.7670454545454546, 'macro avg': {'precision': 0.7614452119734525, 'recall': 0.7562137049941928, 'f1-score': 0.7582883222375748, 'support': 704.0}, 'weighted avg': {'precision': 0.7657190813047172, 'recall': 0.7670454545454546, 'f1-score': 0.7658691233399185, 'support': 704.0}}</t>
  </si>
  <si>
    <t>Java</t>
  </si>
  <si>
    <t>Python</t>
  </si>
  <si>
    <t>cpp</t>
  </si>
  <si>
    <t>go</t>
  </si>
  <si>
    <t>Java&amp;Js</t>
  </si>
  <si>
    <t>Java&amp;py_cpp</t>
  </si>
  <si>
    <t>no_java</t>
  </si>
  <si>
    <t>all</t>
  </si>
  <si>
    <t>{'Flaky': {'precision': 0.8068181818181818, 'recall': 0.7282051282051282, 'f1-score': 0.7654986522911051, 'support': 195.0}, 'NonFlaky': {'precision': 0.8191126279863481, 'recall': 0.8759124087591241, 'f1-score': 0.8465608465608466, 'support': 274.0}, 'accuracy': 0.814498933901919, 'macro avg': {'precision': 0.812965404902265, 'recall': 0.8020587684821261, 'f1-score': 0.8060297494259758, 'support': 469.0}, 'weighted avg': {'precision': 0.814000864654168, 'recall': 0.814498933901919, 'f1-score': 0.812856949156583, 'support': 469.0}}</t>
  </si>
  <si>
    <t>[[142  53]
 [ 34 240]]</t>
  </si>
  <si>
    <t>{'Flaky': {'precision': 0.9602272727272727, 'recall': 0.8666666666666667, 'f1-score': 0.9110512129380054, 'support': 195.0}, 'NonFlaky': {'precision': 0.9112627986348123, 'recall': 0.9744525547445255, 'f1-score': 0.9417989417989417, 'support': 274.0}, 'accuracy': 0.929637526652452, 'macro avg': {'precision': 0.9357450356810425, 'recall': 0.9205596107055961, 'f1-score': 0.9264250773684736, 'support': 469.0}, 'weighted avg': {'precision': 0.9316211620634473, 'recall': 0.929637526652452, 'f1-score': 0.929014704852497, 'support': 469.0}}</t>
  </si>
  <si>
    <t>[[169  26]
 [  7 267]]</t>
  </si>
  <si>
    <t>{'Flaky': {'precision': 0.9581151832460733, 'recall': 0.9384615384615385, 'f1-score': 0.9481865284974094, 'support': 195.0}, 'NonFlaky': {'precision': 0.9568345323741008, 'recall': 0.9708029197080292, 'f1-score': 0.963768115942029, 'support': 274.0}, 'accuracy': 0.9573560767590619, 'macro avg': {'precision': 0.957474857810087, 'recall': 0.9546322290847838, 'f1-score': 0.9559773222197192, 'support': 469.0}, 'weighted avg': {'precision': 0.9573669991545584, 'recall': 0.9573560767590619, 'f1-score': 0.9572896307571658, 'support': 469.0}}</t>
  </si>
  <si>
    <t>[[183  12]
 [  8 266]]</t>
  </si>
  <si>
    <t>{'Flaky': {'precision': 0.9639175257731959, 'recall': 0.958974358974359, 'f1-score': 0.9614395886889461, 'support': 195.0}, 'NonFlaky': {'precision': 0.9709090909090909, 'recall': 0.9744525547445255, 'f1-score': 0.9726775956284153, 'support': 274.0}, 'accuracy': 0.9680170575692963, 'macro avg': {'precision': 0.9674133083411434, 'recall': 0.9667134568594422, 'f1-score': 0.9670585921586807, 'support': 469.0}, 'weighted avg': {'precision': 0.9680021501809469, 'recall': 0.9680170575692963, 'f1-score': 0.9680050767516637, 'support': 469.0}}</t>
  </si>
  <si>
    <t>[[187   8]
 [  7 267]]</t>
  </si>
  <si>
    <t>{'Flaky': {'precision': 0.9378238341968912, 'recall': 0.9282051282051282, 'f1-score': 0.9329896907216495, 'support': 195.0}, 'NonFlaky': {'precision': 0.9492753623188406, 'recall': 0.9562043795620438, 'f1-score': 0.9527272727272728, 'support': 274.0}, 'accuracy': 0.9445628997867804, 'macro avg': {'precision': 0.9435495982578659, 'recall': 0.942204753883586, 'f1-score': 0.9428584817244612, 'support': 469.0}, 'weighted avg': {'precision': 0.944514065978158, 'recall': 0.9445628997867804, 'f1-score': 0.9445208153901798, 'support': 469.0}}</t>
  </si>
  <si>
    <t>[[181  14]
 [ 12 262]]</t>
  </si>
  <si>
    <t>{'Flaky': {'precision': 0.9072164948453608, 'recall': 0.9025641025641026, 'f1-score': 0.9048843187660668, 'support': 195.0}, 'NonFlaky': {'precision': 0.9309090909090909, 'recall': 0.9343065693430657, 'f1-score': 0.9326047358834244, 'support': 274.0}, 'accuracy': 0.9211087420042644, 'macro avg': {'precision': 0.9190627928772259, 'recall': 0.9184353359535842, 'f1-score': 0.9187445273247457, 'support': 469.0}, 'weighted avg': {'precision': 0.9210582247418684, 'recall': 0.9211087420042644, 'f1-score': 0.9210791893207704, 'support': 469.0}}</t>
  </si>
  <si>
    <t>[[176  19]
 [ 18 256]]</t>
  </si>
  <si>
    <t>{'Flaky': {'precision': 0.9333333333333333, 'recall': 0.9333333333333333, 'f1-score': 0.9333333333333333, 'support': 195.0}, 'NonFlaky': {'precision': 0.9525547445255474, 'recall': 0.9525547445255474, 'f1-score': 0.9525547445255474, 'support': 274.0}, 'accuracy': 0.9445628997867804, 'macro avg': {'precision': 0.9429440389294403, 'recall': 0.9429440389294403, 'f1-score': 0.9429440389294403, 'support': 469.0}, 'weighted avg': {'precision': 0.9445628997867804, 'recall': 0.9445628997867804, 'f1-score': 0.9445628997867804, 'support': 469.0}}</t>
  </si>
  <si>
    <t>[[182  13]
 [ 13 261]]</t>
  </si>
  <si>
    <t>{'Flaky': {'precision': 0.6170212765957447, 'recall': 0.8529411764705882, 'f1-score': 0.7160493827160493, 'support': 34.0}, 'NonFlaky': {'precision': 0.8809523809523809, 'recall': 0.6727272727272727, 'f1-score': 0.7628865979381443, 'support': 55.0}, 'accuracy': 0.7415730337078652, 'macro avg': {'precision': 0.7489868287740629, 'recall': 0.7628342245989305, 'f1-score': 0.7394679903270969, 'support': 89.0}, 'weighted avg': {'precision': 0.7801247680520929, 'recall': 0.7415730337078652, 'f1-score': 0.7449937292016138, 'support': 89.0}}</t>
  </si>
  <si>
    <t>[[29  5]
 [18 37]]</t>
  </si>
  <si>
    <t>{'Flaky': {'precision': 0.9642857142857143, 'recall': 0.7941176470588235, 'f1-score': 0.8709677419354839, 'support': 34.0}, 'NonFlaky': {'precision': 0.8852459016393442, 'recall': 0.9818181818181818, 'f1-score': 0.9310344827586207, 'support': 55.0}, 'accuracy': 0.9101123595505618, 'macro avg': {'precision': 0.9247658079625293, 'recall': 0.8879679144385026, 'f1-score': 0.9010011123470523, 'support': 89.0}, 'weighted avg': {'precision': 0.9154408862458228, 'recall': 0.9101123595505618, 'f1-score': 0.9080876379497819, 'support': 89.0}}</t>
  </si>
  <si>
    <t>[[27  7]
 [ 1 54]]</t>
  </si>
  <si>
    <t>{'Flaky': {'precision': 0.8888888888888888, 'recall': 0.9411764705882353, 'f1-score': 0.9142857142857143, 'support': 34.0}, 'NonFlaky': {'precision': 0.9622641509433962, 'recall': 0.9272727272727272, 'f1-score': 0.9444444444444444, 'support': 55.0}, 'accuracy': 0.9325842696629213, 'macro avg': {'precision': 0.9255765199161425, 'recall': 0.9342245989304813, 'f1-score': 0.9293650793650794, 'support': 89.0}, 'weighted avg': {'precision': 0.9342331519562812, 'recall': 0.9325842696629213, 'f1-score': 0.9329231317995363, 'support': 89.0}}</t>
  </si>
  <si>
    <t>[[32  2]
 [ 4 51]]</t>
  </si>
  <si>
    <t>{'Flaky': {'precision': 0.9142857142857143, 'recall': 0.9411764705882353, 'f1-score': 0.9275362318840579, 'support': 34.0}, 'NonFlaky': {'precision': 0.9629629629629629, 'recall': 0.9454545454545454, 'f1-score': 0.9541284403669724, 'support': 55.0}, 'accuracy': 0.9438202247191011, 'macro avg': {'precision': 0.9386243386243386, 'recall': 0.9433155080213904, 'f1-score': 0.9408323361255151, 'support': 89.0}, 'weighted avg': {'precision': 0.9443671600974972, 'recall': 0.9438202247191011, 'f1-score': 0.9439696191487803, 'support': 89.0}}</t>
  </si>
  <si>
    <t>[[32  2]
 [ 3 52]]</t>
  </si>
  <si>
    <t>{'Flaky': {'precision': 0.8285714285714286, 'recall': 0.8529411764705882, 'f1-score': 0.8405797101449276, 'support': 34.0}, 'NonFlaky': {'precision': 0.9074074074074074, 'recall': 0.8909090909090909, 'f1-score': 0.8990825688073394, 'support': 55.0}, 'accuracy': 0.8764044943820225, 'macro avg': {'precision': 0.8679894179894181, 'recall': 0.8719251336898395, 'f1-score': 0.8698311394761336, 'support': 89.0}, 'weighted avg': {'precision': 0.8772902918970336, 'recall': 0.8764044943820225, 'f1-score': 0.8767331621273168, 'support': 89.0}}</t>
  </si>
  <si>
    <t>[[29  5]
 [ 6 49]]</t>
  </si>
  <si>
    <t>{'Flaky': {'precision': 0.9090909090909091, 'recall': 0.8823529411764706, 'f1-score': 0.8955223880597014, 'support': 34.0}, 'NonFlaky': {'precision': 0.9285714285714286, 'recall': 0.9454545454545454, 'f1-score': 0.9369369369369368, 'support': 55.0}, 'accuracy': 0.9213483146067416, 'macro avg': {'precision': 0.9188311688311688, 'recall': 0.9139037433155079, 'f1-score': 0.916229662498319, 'support': 89.0}, 'weighted avg': {'precision': 0.9211294323653876, 'recall': 0.9213483146067416, 'f1-score': 0.9211156486018133, 'support': 89.0}}</t>
  </si>
  <si>
    <t>[[30  4]
 [ 3 52]]</t>
  </si>
  <si>
    <t>{'Flaky': {'precision': 0.7158469945355191, 'recall': 0.7081081081081081, 'f1-score': 0.7119565217391304, 'support': 185.0}, 'NonFlaky': {'precision': 0.7890625, 'recall': 0.7952755905511811, 'f1-score': 0.7921568627450981, 'support': 254.0}, 'accuracy': 0.7585421412300684, 'macro avg': {'precision': 0.7524547472677596, 'recall': 0.7516918493296446, 'f1-score': 0.7520566922421142, 'support': 439.0}, 'weighted avg': {'precision': 0.7582085853965171, 'recall': 0.7585421412300684, 'f1-score': 0.7583594525261824, 'support': 439.0}}</t>
  </si>
  <si>
    <t>[[131  54]
 [ 52 202]]</t>
  </si>
  <si>
    <t>{'Flaky': {'precision': 0.9230769230769231, 'recall': 0.9081081081081082, 'f1-score': 0.9155313351498637, 'support': 185.0}, 'NonFlaky': {'precision': 0.933852140077821, 'recall': 0.9448818897637795, 'f1-score': 0.939334637964775, 'support': 254.0}, 'accuracy': 0.929384965831435, 'macro avg': {'precision': 0.9284645315773721, 'recall': 0.9264949989359439, 'f1-score': 0.9274329865573194, 'support': 439.0}, 'weighted avg': {'precision': 0.9293113310911101, 'recall': 0.929384965831435, 'f1-score': 0.9293036333616803, 'support': 439.0}}</t>
  </si>
  <si>
    <t>[[168  17]
 [ 14 240]]</t>
  </si>
  <si>
    <t>{'Flaky': {'precision': 0.9574468085106383, 'recall': 0.972972972972973, 'f1-score': 0.9651474530831101, 'support': 185.0}, 'NonFlaky': {'precision': 0.9800796812749004, 'recall': 0.968503937007874, 'f1-score': 0.9742574257425742, 'support': 254.0}, 'accuracy': 0.9703872437357631, 'macro avg': {'precision': 0.9687632448927694, 'recall': 0.9707384549904234, 'f1-score': 0.9697024394128422, 'support': 439.0}, 'weighted avg': {'precision': 0.9705419102922388, 'recall': 0.9703872437357631, 'f1-score': 0.9704183712049869, 'support': 439.0}}</t>
  </si>
  <si>
    <t>[[180   5]
 [  8 246]]</t>
  </si>
  <si>
    <t>{'Flaky': {'precision': 0.9572192513368984, 'recall': 0.9675675675675676, 'f1-score': 0.9623655913978495, 'support': 185.0}, 'NonFlaky': {'precision': 0.9761904761904762, 'recall': 0.968503937007874, 'f1-score': 0.9723320158102767, 'support': 254.0}, 'accuracy': 0.9681093394077449, 'macro avg': {'precision': 0.9667048637636872, 'recall': 0.9680357522877208, 'f1-score': 0.9673488036040632, 'support': 439.0}, 'weighted avg': {'precision': 0.9681957686781484, 'recall': 0.9681093394077449, 'f1-score': 0.9681320419690488, 'support': 439.0}}</t>
  </si>
  <si>
    <t>[[179   6]
 [  8 246]]</t>
  </si>
  <si>
    <t>{'Flaky': {'precision': 0.9319371727748691, 'recall': 0.9621621621621622, 'f1-score': 0.946808510638298, 'support': 185.0}, 'NonFlaky': {'precision': 0.9717741935483871, 'recall': 0.9488188976377953, 'f1-score': 0.9601593625498008, 'support': 254.0}, 'accuracy': 0.9544419134396356, 'macro avg': {'precision': 0.951855683161628, 'recall': 0.9554905298999787, 'f1-score': 0.9534839365940494, 'support': 439.0}, 'weighted avg': {'precision': 0.9549863829718477, 'recall': 0.9544419134396356, 'f1-score': 0.9545331493296914, 'support': 439.0}}</t>
  </si>
  <si>
    <t>[[178   7]
 [ 13 241]]</t>
  </si>
  <si>
    <t>{'Flaky': {'precision': 0.9259259259259259, 'recall': 0.9459459459459459, 'f1-score': 0.9358288770053477, 'support': 185.0}, 'NonFlaky': {'precision': 0.96, 'recall': 0.9448818897637795, 'f1-score': 0.9523809523809523, 'support': 254.0}, 'accuracy': 0.9453302961275627, 'macro avg': {'precision': 0.942962962962963, 'recall': 0.9454139178548627, 'f1-score': 0.9441049146931499, 'support': 439.0}, 'weighted avg': {'precision': 0.945640766050789, 'recall': 0.9453302961275627, 'f1-score': 0.9454057042158343, 'support': 439.0}}</t>
  </si>
  <si>
    <t>[[175  10]
 [ 14 240]]</t>
  </si>
  <si>
    <t>{'Flaky': {'precision': 0.9329608938547486, 'recall': 0.9027027027027027, 'f1-score': 0.9175824175824175, 'support': 185.0}, 'NonFlaky': {'precision': 0.9307692307692308, 'recall': 0.952755905511811, 'f1-score': 0.9416342412451363, 'support': 254.0}, 'accuracy': 0.9316628701594533, 'macro avg': {'precision': 0.9318650623119897, 'recall': 0.9277293041072568, 'f1-score': 0.9296083294137769, 'support': 439.0}, 'weighted avg': {'precision': 0.9316928245524215, 'recall': 0.9316628701594533, 'f1-score': 0.9314985068997992, 'support': 439.0}}</t>
  </si>
  <si>
    <t>[[167  18]
 [ 12 242]]</t>
  </si>
  <si>
    <t>{'Flaky': {'precision': 0.9666666666666667, 'recall': 0.9405405405405406, 'f1-score': 0.9534246575342465, 'support': 185.0}, 'NonFlaky': {'precision': 0.9575289575289575, 'recall': 0.9763779527559056, 'f1-score': 0.966861598440546, 'support': 254.0}, 'accuracy': 0.9612756264236902, 'macro avg': {'precision': 0.9620978120978121, 'recall': 0.9584592466482231, 'f1-score': 0.9601431279873962, 'support': 439.0}, 'weighted avg': {'precision': 0.961379700559655, 'recall': 0.9612756264236902, 'f1-score': 0.9611991062590758, 'support': 439.0}}</t>
  </si>
  <si>
    <t>[[174  11]
 [  6 248]]</t>
  </si>
  <si>
    <t>{'Flaky': {'precision': 0.7847222222222222, 'recall': 0.6726190476190477, 'f1-score': 0.7243589743589745, 'support': 168.0}, 'NonFlaky': {'precision': 0.7791164658634538, 'recall': 0.8622222222222222, 'f1-score': 0.8185654008438819, 'support': 225.0}, 'accuracy': 0.7811704834605598, 'macro avg': {'precision': 0.781919344042838, 'recall': 0.767420634920635, 'f1-score': 0.7714621876014282, 'support': 393.0}, 'weighted avg': {'precision': 0.7815128197267441, 'recall': 0.7811704834605598, 'f1-score': 0.7782939513541505, 'support': 393.0}}</t>
  </si>
  <si>
    <t>[[113  55]
 [ 31 194]]</t>
  </si>
  <si>
    <t>{'Flaky': {'precision': 0.948051948051948, 'recall': 0.8690476190476191, 'f1-score': 0.906832298136646, 'support': 168.0}, 'NonFlaky': {'precision': 0.9079497907949791, 'recall': 0.9644444444444444, 'f1-score': 0.935344827586207, 'support': 225.0}, 'accuracy': 0.9236641221374046, 'macro avg': {'precision': 0.9280008694234636, 'recall': 0.9167460317460318, 'f1-score': 0.9210885628614265, 'support': 393.0}, 'weighted avg': {'precision': 0.9250926977139886, 'recall': 0.9236641221374046, 'f1-score': 0.9231562653787612, 'support': 393.0}}</t>
  </si>
  <si>
    <t>[[146  22]
 [  8 217]]</t>
  </si>
  <si>
    <t>{'Flaky': {'precision': 0.9520958083832335, 'recall': 0.9464285714285714, 'f1-score': 0.9492537313432836, 'support': 168.0}, 'NonFlaky': {'precision': 0.9601769911504425, 'recall': 0.9644444444444444, 'f1-score': 0.9623059866962307, 'support': 225.0}, 'accuracy': 0.9567430025445293, 'macro avg': {'precision': 0.956136399766838, 'recall': 0.9554365079365079, 'f1-score': 0.9557798590197571, 'support': 393.0}, 'weighted avg': {'precision': 0.9567224397385058, 'recall': 0.9567430025445293, 'f1-score': 0.9567263966216883, 'support': 393.0}}</t>
  </si>
  <si>
    <t>[[159   9]
 [  8 217]]</t>
  </si>
  <si>
    <t>{'Flaky': {'precision': 0.963855421686747, 'recall': 0.9523809523809523, 'f1-score': 0.9580838323353292, 'support': 168.0}, 'NonFlaky': {'precision': 0.9647577092511013, 'recall': 0.9733333333333334, 'f1-score': 0.9690265486725663, 'support': 225.0}, 'accuracy': 0.9643765903307888, 'macro avg': {'precision': 0.9643065654689241, 'recall': 0.9628571428571429, 'f1-score': 0.9635551905039478, 'support': 393.0}, 'weighted avg': {'precision': 0.9643719985365681, 'recall': 0.9643765903307888, 'f1-score': 0.964348746268862, 'support': 393.0}}</t>
  </si>
  <si>
    <t>[[160   8]
 [  6 219]]</t>
  </si>
  <si>
    <t>{'Flaky': {'precision': 0.9408284023668639, 'recall': 0.9464285714285714, 'f1-score': 0.9436201780415431, 'support': 168.0}, 'NonFlaky': {'precision': 0.9598214285714286, 'recall': 0.9555555555555556, 'f1-score': 0.957683741648107, 'support': 225.0}, 'accuracy': 0.9516539440203562, 'macro avg': {'precision': 0.9503249154691462, 'recall': 0.9509920634920634, 'f1-score': 0.9506519598448251, 'support': 393.0}, 'weighted avg': {'precision': 0.9517022723313094, 'recall': 0.9516539440203562, 'f1-score': 0.9516718365949194, 'support': 393.0}}</t>
  </si>
  <si>
    <t>[[159   9]
 [ 10 215]]</t>
  </si>
  <si>
    <t>{'Flaky': {'precision': 0.9570552147239264, 'recall': 0.9285714285714286, 'f1-score': 0.9425981873111783, 'support': 168.0}, 'NonFlaky': {'precision': 0.9478260869565217, 'recall': 0.9688888888888889, 'f1-score': 0.9582417582417583, 'support': 225.0}, 'accuracy': 0.9516539440203562, 'macro avg': {'precision': 0.9524406508402241, 'recall': 0.9487301587301588, 'f1-score': 0.9504199727764683, 'support': 393.0}, 'weighted avg': {'precision': 0.9517713629486947, 'recall': 0.9516539440203562, 'f1-score': 0.9515544302103653, 'support': 393.0}}</t>
  </si>
  <si>
    <t>[[156  12]
 [  7 218]]</t>
  </si>
  <si>
    <t>{'Flaky': {'precision': 0.9573170731707317, 'recall': 0.9345238095238095, 'f1-score': 0.9457831325301205, 'support': 168.0}, 'NonFlaky': {'precision': 0.9519650655021834, 'recall': 0.9688888888888889, 'f1-score': 0.960352422907489, 'support': 225.0}, 'accuracy': 0.9541984732824428, 'macro avg': {'precision': 0.9546410693364575, 'recall': 0.9517063492063492, 'f1-score': 0.9530677777188048, 'support': 393.0}, 'weighted avg': {'precision': 0.9542529466429367, 'recall': 0.9541984732824428, 'f1-score': 0.9541243293110566, 'support': 393.0}}</t>
  </si>
  <si>
    <t>[[157  11]
 [  7 218]]</t>
  </si>
  <si>
    <t>{'Flaky': {'precision': 0.9575757575757575, 'recall': 0.9404761904761905, 'f1-score': 0.9489489489489489, 'support': 168.0}, 'NonFlaky': {'precision': 0.956140350877193, 'recall': 0.9688888888888889, 'f1-score': 0.9624724061810154, 'support': 225.0}, 'accuracy': 0.9567430025445293, 'macro avg': {'precision': 0.9568580542264753, 'recall': 0.9546825396825397, 'f1-score': 0.9557106775649822, 'support': 393.0}, 'weighted avg': {'precision': 0.9567539598475718, 'recall': 0.9567430025445293, 'f1-score': 0.9566913862955518, 'support': 393.0}}</t>
  </si>
  <si>
    <t>[[158  10]
 [  7 218]]</t>
  </si>
  <si>
    <t>{'Flaky': {'precision': 0.16666666666666666, 'recall': 0.5, 'f1-score': 0.25, 'support': 2.0}, 'NonFlaky': {'precision': 0.9166666666666666, 'recall': 0.6875, 'f1-score': 0.7857142857142857, 'support': 16.0}, 'accuracy': 0.6666666666666666, 'macro avg': {'precision': 0.5416666666666666, 'recall': 0.59375, 'f1-score': 0.5178571428571428, 'support': 18.0}, 'weighted avg': {'precision': 0.8333333333333334, 'recall': 0.6666666666666666, 'f1-score': 0.7261904761904762, 'support': 18.0}}</t>
  </si>
  <si>
    <t>[[ 1  1]
 [ 5 11]]</t>
  </si>
  <si>
    <t>{'Flaky': {'precision': 1.0, 'recall': 1.0, 'f1-score': 1.0, 'support': 2.0}, 'NonFlaky': {'precision': 1.0, 'recall': 1.0, 'f1-score': 1.0, 'support': 16.0}, 'accuracy': 1.0, 'macro avg': {'precision': 1.0, 'recall': 1.0, 'f1-score': 1.0, 'support': 18.0}, 'weighted avg': {'precision': 1.0, 'recall': 1.0, 'f1-score': 1.0, 'support': 18.0}}</t>
  </si>
  <si>
    <t>[[ 2  0]
 [ 0 16]]</t>
  </si>
  <si>
    <t>{'Flaky': {'precision': 1.0, 'recall': 0.5, 'f1-score': 0.6666666666666666, 'support': 2.0}, 'NonFlaky': {'precision': 0.9411764705882353, 'recall': 1.0, 'f1-score': 0.9696969696969697, 'support': 16.0}, 'accuracy': 0.9444444444444444, 'macro avg': {'precision': 0.9705882352941176, 'recall': 0.75, 'f1-score': 0.8181818181818181, 'support': 18.0}, 'weighted avg': {'precision': 0.9477124183006536, 'recall': 0.9444444444444444, 'f1-score': 0.936026936026936, 'support': 18.0}}</t>
  </si>
  <si>
    <t>[[ 1  1]
 [ 0 16]]</t>
  </si>
  <si>
    <t>{'Flaky': {'precision': 0.3333333333333333, 'recall': 0.5, 'f1-score': 0.4, 'support': 2.0}, 'NonFlaky': {'precision': 0.9333333333333333, 'recall': 0.875, 'f1-score': 0.9032258064516129, 'support': 16.0}, 'accuracy': 0.8333333333333334, 'macro avg': {'precision': 0.6333333333333333, 'recall': 0.6875, 'f1-score': 0.6516129032258065, 'support': 18.0}, 'weighted avg': {'precision': 0.8666666666666667, 'recall': 0.8333333333333334, 'f1-score': 0.8473118279569892, 'support': 18.0}}</t>
  </si>
  <si>
    <t>[[ 1  1]
 [ 2 14]]</t>
  </si>
  <si>
    <t>{'Flaky': {'precision': 0.5, 'recall': 1.0, 'f1-score': 0.6666666666666666, 'support': 2.0}, 'NonFlaky': {'precision': 1.0, 'recall': 0.875, 'f1-score': 0.9333333333333333, 'support': 16.0}, 'accuracy': 0.8888888888888888, 'macro avg': {'precision': 0.75, 'recall': 0.9375, 'f1-score': 0.8, 'support': 18.0}, 'weighted avg': {'precision': 0.9444444444444444, 'recall': 0.8888888888888888, 'f1-score': 0.9037037037037037, 'support': 18.0}}</t>
  </si>
  <si>
    <t>[[ 2  0]
 [ 2 14]]</t>
  </si>
  <si>
    <t>{'Flaky': {'precision': 0.0, 'recall': 0.0, 'f1-score': 0.0, 'support': 3.0}, 'NonFlaky': {'precision': 0.7272727272727273, 'recall': 0.6153846153846154, 'f1-score': 0.6666666666666667, 'support': 13.0}, 'accuracy': 0.5, 'macro avg': {'precision': 0.36363636363636365, 'recall': 0.3076923076923077, 'f1-score': 0.33333333333333337, 'support': 16.0}, 'weighted avg': {'precision': 0.5909090909090909, 'recall': 0.5, 'f1-score': 0.5416666666666667, 'support': 16.0}}</t>
  </si>
  <si>
    <t>[[0 3]
 [5 8]]</t>
  </si>
  <si>
    <t>{'Flaky': {'precision': 1.0, 'recall': 0.6666666666666666, 'f1-score': 0.8, 'support': 3.0}, 'NonFlaky': {'precision': 0.9285714285714286, 'recall': 1.0, 'f1-score': 0.962962962962963, 'support': 13.0}, 'accuracy': 0.9375, 'macro avg': {'precision': 0.9642857142857143, 'recall': 0.8333333333333333, 'f1-score': 0.8814814814814815, 'support': 16.0}, 'weighted avg': {'precision': 0.9419642857142857, 'recall': 0.9375, 'f1-score': 0.9324074074074075, 'support': 16.0}}</t>
  </si>
  <si>
    <t>[[ 2  1]
 [ 0 13]]</t>
  </si>
  <si>
    <t>{'Flaky': {'precision': 1.0, 'recall': 1.0, 'f1-score': 1.0, 'support': 3.0}, 'NonFlaky': {'precision': 1.0, 'recall': 1.0, 'f1-score': 1.0, 'support': 13.0}, 'accuracy': 1.0, 'macro avg': {'precision': 1.0, 'recall': 1.0, 'f1-score': 1.0, 'support': 16.0}, 'weighted avg': {'precision': 1.0, 'recall': 1.0, 'f1-score': 1.0, 'support': 16.0}}</t>
  </si>
  <si>
    <t>[[ 3  0]
 [ 0 13]]</t>
  </si>
  <si>
    <t>{'Flaky': {'precision': 0.6, 'recall': 1.0, 'f1-score': 0.7499999999999999, 'support': 3.0}, 'NonFlaky': {'precision': 1.0, 'recall': 0.8461538461538461, 'f1-score': 0.9166666666666666, 'support': 13.0}, 'accuracy': 0.875, 'macro avg': {'precision': 0.8, 'recall': 0.9230769230769231, 'f1-score': 0.8333333333333333, 'support': 16.0}, 'weighted avg': {'precision': 0.925, 'recall': 0.875, 'f1-score': 0.8854166666666666, 'support': 16.0}}</t>
  </si>
  <si>
    <t>[[ 3  0]
 [ 2 11]]</t>
  </si>
  <si>
    <t>{'Flaky': {'precision': 1.0, 'recall': 0.3333333333333333, 'f1-score': 0.5, 'support': 3.0}, 'NonFlaky': {'precision': 0.8666666666666667, 'recall': 1.0, 'f1-score': 0.9285714285714286, 'support': 13.0}, 'accuracy': 0.875, 'macro avg': {'precision': 0.9333333333333333, 'recall': 0.6666666666666666, 'f1-score': 0.7142857142857143, 'support': 16.0}, 'weighted avg': {'precision': 0.8916666666666667, 'recall': 0.875, 'f1-score': 0.8482142857142857, 'support': 16.0}}</t>
  </si>
  <si>
    <t>[[ 1  2]
 [ 0 13]]</t>
  </si>
  <si>
    <t>{'Flaky': {'precision': 0.8125, 'recall': 0.7647058823529411, 'f1-score': 0.787878787878788, 'support': 17.0}, 'NonFlaky': {'precision': 0.8461538461538461, 'recall': 0.88, 'f1-score': 0.8627450980392156, 'support': 25.0}, 'accuracy': 0.8333333333333334, 'macro avg': {'precision': 0.8293269230769231, 'recall': 0.8223529411764705, 'f1-score': 0.8253119429590018, 'support': 42.0}, 'weighted avg': {'precision': 0.8325320512820513, 'recall': 0.8333333333333334, 'f1-score': 0.8324420677361853, 'support': 42.0}}</t>
  </si>
  <si>
    <t>[[13  4]
 [ 3 22]]</t>
  </si>
  <si>
    <t>{'Flaky': {'precision': 0.8947368421052632, 'recall': 1.0, 'f1-score': 0.9444444444444444, 'support': 17.0}, 'NonFlaky': {'precision': 1.0, 'recall': 0.92, 'f1-score': 0.9583333333333334, 'support': 25.0}, 'accuracy': 0.9523809523809523, 'macro avg': {'precision': 0.9473684210526316, 'recall': 0.96, 'f1-score': 0.9513888888888888, 'support': 42.0}, 'weighted avg': {'precision': 0.9573934837092731, 'recall': 0.9523809523809523, 'f1-score': 0.9527116402116401, 'support': 42.0}}</t>
  </si>
  <si>
    <t>[[17  0]
 [ 2 23]]</t>
  </si>
  <si>
    <t>{'Flaky': {'precision': 0.9444444444444444, 'recall': 1.0, 'f1-score': 0.9714285714285714, 'support': 17.0}, 'NonFlaky': {'precision': 1.0, 'recall': 0.96, 'f1-score': 0.9795918367346939, 'support': 25.0}, 'accuracy': 0.9761904761904762, 'macro avg': {'precision': 0.9722222222222222, 'recall': 0.98, 'f1-score': 0.9755102040816326, 'support': 42.0}, 'weighted avg': {'precision': 0.9775132275132276, 'recall': 0.9761904761904762, 'f1-score': 0.9762876579203108, 'support': 42.0}}</t>
  </si>
  <si>
    <t>[[17  0]
 [ 1 24]]</t>
  </si>
  <si>
    <t>{'Flaky': {'precision': 1.0, 'recall': 1.0, 'f1-score': 1.0, 'support': 17.0}, 'NonFlaky': {'precision': 1.0, 'recall': 1.0, 'f1-score': 1.0, 'support': 25.0}, 'accuracy': 1.0, 'macro avg': {'precision': 1.0, 'recall': 1.0, 'f1-score': 1.0, 'support': 42.0}, 'weighted avg': {'precision': 1.0, 'recall': 1.0, 'f1-score': 1.0, 'support': 42.0}}</t>
  </si>
  <si>
    <t>[[17  0]
 [ 0 25]]</t>
  </si>
  <si>
    <t>{'Flaky': {'precision': 0.85, 'recall': 1.0, 'f1-score': 0.9189189189189189, 'support': 17.0}, 'NonFlaky': {'precision': 1.0, 'recall': 0.88, 'f1-score': 0.9361702127659575, 'support': 25.0}, 'accuracy': 0.9285714285714286, 'macro avg': {'precision': 0.925, 'recall': 0.94, 'f1-score': 0.9275445658424382, 'support': 42.0}, 'weighted avg': {'precision': 0.9392857142857144, 'recall': 0.9285714285714286, 'f1-score': 0.9291875462088228, 'support': 42.0}}</t>
  </si>
  <si>
    <t>[[17  0]
 [ 3 22]]</t>
  </si>
  <si>
    <t>{'Flaky': {'precision': 0.7639751552795031, 'recall': 0.76875, 'f1-score': 0.766355140186916, 'support': 160.0}, 'NonFlaky': {'precision': 0.8318181818181818, 'recall': 0.8280542986425339, 'f1-score': 0.8299319727891156, 'support': 221.0}, 'accuracy': 0.8031496062992126, 'macro avg': {'precision': 0.7978966685488424, 'recall': 0.798402149321267, 'f1-score': 0.7981435564880157, 'support': 381.0}, 'weighted avg': {'precision': 0.8033276719856657, 'recall': 0.8031496062992126, 'f1-score': 0.8032330404627325, 'support': 381.0}}</t>
  </si>
  <si>
    <t>[[123  37]
 [ 38 183]]</t>
  </si>
  <si>
    <t>{'Flaky': {'precision': 0.9859154929577465, 'recall': 0.875, 'f1-score': 0.9271523178807948, 'support': 160.0}, 'NonFlaky': {'precision': 0.9163179916317992, 'recall': 0.9909502262443439, 'f1-score': 0.9521739130434783, 'support': 221.0}, 'accuracy': 0.9422572178477691, 'macro avg': {'precision': 0.9511167422947728, 'recall': 0.932975113122172, 'f1-score': 0.9396631154621365, 'support': 381.0}, 'weighted avg': {'precision': 0.945545288776554, 'recall': 0.9422572178477691, 'f1-score': 0.9416661565447135, 'support': 381.0}}</t>
  </si>
  <si>
    <t>[[140  20]
 [  2 219]]</t>
  </si>
  <si>
    <t>{'Flaky': {'precision': 0.9798657718120806, 'recall': 0.9125, 'f1-score': 0.9449838187702266, 'support': 160.0}, 'NonFlaky': {'precision': 0.9396551724137931, 'recall': 0.9864253393665159, 'f1-score': 0.9624724061810155, 'support': 221.0}, 'accuracy': 0.9553805774278216, 'macro avg': {'precision': 0.9597604721129369, 'recall': 0.949462669683258, 'f1-score': 0.9537281124756211, 'support': 381.0}, 'weighted avg': {'precision': 0.9565415133684545, 'recall': 0.9553805774278216, 'f1-score': 0.9551281175045687, 'support': 381.0}}</t>
  </si>
  <si>
    <t>[[146  14]
 [  3 218]]</t>
  </si>
  <si>
    <t>{'Flaky': {'precision': 0.967948717948718, 'recall': 0.94375, 'f1-score': 0.9556962025316456, 'support': 160.0}, 'NonFlaky': {'precision': 0.96, 'recall': 0.9773755656108597, 'f1-score': 0.9686098654708519, 'support': 221.0}, 'accuracy': 0.963254593175853, 'macro avg': {'precision': 0.963974358974359, 'recall': 0.9605627828054298, 'f1-score': 0.9621530340012487, 'support': 381.0}, 'weighted avg': {'precision': 0.9633380442829262, 'recall': 0.963254593175853, 'f1-score': 0.9631868049189541, 'support': 381.0}}</t>
  </si>
  <si>
    <t>[[151   9]
 [  5 216]]</t>
  </si>
  <si>
    <t>{'Flaky': {'precision': 0.9931972789115646, 'recall': 0.9125, 'f1-score': 0.9511400651465799, 'support': 160.0}, 'NonFlaky': {'precision': 0.9401709401709402, 'recall': 0.995475113122172, 'f1-score': 0.967032967032967, 'support': 221.0}, 'accuracy': 0.9606299212598425, 'macro avg': {'precision': 0.9666841095412524, 'recall': 0.953987556561086, 'f1-score': 0.9590865160897735, 'support': 381.0}, 'weighted avg': {'precision': 0.9624392189071603, 'recall': 0.9606299212598425, 'f1-score': 0.9603587825137494, 'support': 381.0}}</t>
  </si>
  <si>
    <t>[[146  14]
 [  1 220]]</t>
  </si>
  <si>
    <t>{'Flaky': {'precision': 0.9683544303797469, 'recall': 0.95625, 'f1-score': 0.9622641509433963, 'support': 160.0}, 'NonFlaky': {'precision': 0.968609865470852, 'recall': 0.9773755656108597, 'f1-score': 0.972972972972973, 'support': 221.0}, 'accuracy': 0.968503937007874, 'macro avg': {'precision': 0.9684821479252994, 'recall': 0.9668127828054298, 'f1-score': 0.9676185619581847, 'support': 381.0}, 'weighted avg': {'precision': 0.968502596141254, 'recall': 0.968503937007874, 'f1-score': 0.9684758298634396, 'support': 381.0}}</t>
  </si>
  <si>
    <t>[[153   7]
 [  5 216]]</t>
  </si>
  <si>
    <t>{'Flaky': {'precision': 0.937888198757764, 'recall': 0.94375, 'f1-score': 0.940809968847352, 'support': 160.0}, 'NonFlaky': {'precision': 0.9590909090909091, 'recall': 0.9547511312217195, 'f1-score': 0.9569160997732427, 'support': 221.0}, 'accuracy': 0.9501312335958005, 'macro avg': {'precision': 0.9484895539243365, 'recall': 0.9492505656108597, 'f1-score': 0.9488630343102973, 'support': 381.0}, 'weighted avg': {'precision': 0.9501868837541552, 'recall': 0.9501312335958005, 'f1-score': 0.9501523702505589, 'support': 381.0}}</t>
  </si>
  <si>
    <t>[[151   9]
 [ 10 211]]</t>
  </si>
  <si>
    <t>Top 20 featuers</t>
  </si>
  <si>
    <t>throws', 'exception', 'should', 'io', 'error', 'assert', 'resource',
       'for', 'get', 'equal', 'int', 'session', 'description', 'output',
       'expect', 'close', 'factory', 'url', 'inode', 'byte'</t>
  </si>
  <si>
    <t>model', 'msgs', 'true', 'app', 'flask', 'check', 'err', 'config',
       'instance', 'batch', 'equal', 'https', 'models', 'benchmark', 'dict',
       'false', 'with', 'expected', 'assert', 'multi'</t>
  </si>
  <si>
    <t>case', 'check', 'string', 'expect', 'and', 'int', 'asset', 'disabled',
       'float', 'time', 'op', 'data', 'return', 'for', 'milliseconds', 'make',
       'require', 'in', 'wait', 'manager'</t>
  </si>
  <si>
    <t>func', 'assert', 'pod', 'fake', 'file', 'string', 'sleep', 'poll',
       'true', 'timeout', 'clock', 'if', 'time', 'no', 'client', 'err',
       'esbuild', 'null', 'nil', 'error'</t>
  </si>
  <si>
    <t>throws', 'should', 'exception', 'io', 'error', 'client', 'resource',
       'for', 'output', 'close', 'that', 'get', 'description', 'thrown',
       'message', 'equal', 'assert', 'string', 'inode', 'int'</t>
  </si>
  <si>
    <t>string', 'case', 'check', 'client', 'err', 'func', 'unit', 'true',
       'equal', 'false', 'text', 'function', 'instance', 'flask', 'files',
       'assert', 'context', 'app', 'append', 'model'</t>
  </si>
  <si>
    <t>throws', 'should', 'io', 'exception', 'client', 'error', 'assert',
       'equal', 'factory', 'that', 'get', 'string', 'resource', 'output',
       'inode', 'representation', 'for', 'description', 'table', 'int'</t>
  </si>
  <si>
    <t>{'Flaky': {'precision': 0.6028708133971292, 'recall': 0.615234375, 'f1-score': 0.608989850169164, 'support': 1024.0}, 'NonFlaky': {'precision': 0.696923076923077, 'recall': 0.6858440575321726, 'f1-score': 0.6913391835177414, 'support': 1321.0}, 'accuracy': 0.6550106609808103, 'macro avg': {'precision': 0.6498969451601031, 'recall': 0.6505392162660864, 'f1-score': 0.6501645168434527, 'support': 2345.0}, 'weighted avg': {'precision': 0.6558529200571621, 'recall': 0.6550106609808103, 'f1-score': 0.6553793893390876, 'support': 2345.0}}</t>
  </si>
  <si>
    <t>[[630 394]
 [415 906]]</t>
  </si>
  <si>
    <t>{'Flaky': {'precision': 0.6492932862190812, 'recall': 0.7177734375, 'f1-score': 0.6818181818181818, 'support': 1024.0}, 'NonFlaky': {'precision': 0.761747732893652, 'recall': 0.6994700984102953, 'f1-score': 0.729281767955801, 'support': 1321.0}, 'accuracy': 0.7074626865671642, 'macro avg': {'precision': 0.7055205095563666, 'recall': 0.7086217679551476, 'f1-score': 0.7055499748869913, 'support': 2345.0}, 'weighted avg': {'precision': 0.7126418252626241, 'recall': 0.7074626865671642, 'f1-score': 0.70855566467012, 'support': 2345.0}}</t>
  </si>
  <si>
    <t>[[735 289]
 [397 924]]</t>
  </si>
  <si>
    <t>{'Flaky': {'precision': 0.6903052064631957, 'recall': 0.7509765625, 'f1-score': 0.7193638914873713, 'support': 1024.0}, 'NonFlaky': {'precision': 0.7928513403736799, 'recall': 0.7388342165026495, 'f1-score': 0.7648902821316613, 'support': 1321.0}, 'accuracy': 0.744136460554371, 'macro avg': {'precision': 0.7415782734184377, 'recall': 0.7449053895013247, 'f1-score': 0.7421270868095163, 'support': 2345.0}, 'weighted avg': {'precision': 0.7480721330711912, 'recall': 0.744136460554371, 'f1-score': 0.7450101013130034, 'support': 2345.0}}</t>
  </si>
  <si>
    <t>[[769 255]
 [345 976]]</t>
  </si>
  <si>
    <t>{'Flaky': {'precision': 0.6722222222222223, 'recall': 0.8271484375, 'f1-score': 0.7416812609457093, 'support': 1024.0}, 'NonFlaky': {'precision': 0.8368663594470046, 'recall': 0.6873580620741863, 'f1-score': 0.7547797173732337, 'support': 1321.0}, 'accuracy': 0.7484008528784648, 'macro avg': {'precision': 0.7545442908346134, 'recall': 0.7572532497870932, 'f1-score': 0.7482304891594715, 'support': 2345.0}, 'weighted avg': {'precision': 0.7649705826801914, 'recall': 0.7484008528784648, 'f1-score': 0.7490599649716196, 'support': 2345.0}}</t>
  </si>
  <si>
    <t>[[847 177]
 [413 908]]</t>
  </si>
  <si>
    <t>{'Flaky': {'precision': 0.7015355086372361, 'recall': 0.7138671875, 'f1-score': 0.707647628267183, 'support': 1024.0}, 'NonFlaky': {'precision': 0.7751343054489639, 'recall': 0.7645722937168812, 'f1-score': 0.7698170731707317, 'support': 1321.0}, 'accuracy': 0.7424307036247335, 'macro avg': {'precision': 0.7383349070431, 'recall': 0.7392197406084406, 'f1-score': 0.7387323507189574, 'support': 2345.0}, 'weighted avg': {'precision': 0.7429956410842692, 'recall': 0.7424307036247335, 'f1-score': 0.7426693070380094, 'support': 2345.0}}</t>
  </si>
  <si>
    <t>[[ 731  293]
 [ 311 1010]]</t>
  </si>
  <si>
    <t>{'Flaky': {'precision': 0.6156583629893239, 'recall': 0.67578125, 'f1-score': 0.644320297951583, 'support': 1024.0}, 'NonFlaky': {'precision': 0.7280917280917281, 'recall': 0.6729750189250567, 'f1-score': 0.6994492525570416, 'support': 1321.0}, 'accuracy': 0.6742004264392324, 'macro avg': {'precision': 0.671875045540526, 'recall': 0.6743781344625284, 'f1-score': 0.6718847752543122, 'support': 2345.0}, 'weighted avg': {'precision': 0.6789950262303797, 'recall': 0.6742004264392324, 'f1-score': 0.6753758838935067, 'support': 2345.0}}</t>
  </si>
  <si>
    <t>[[692 332]
 [432 889]]</t>
  </si>
  <si>
    <t>{'Flaky': {'precision': 0.6978484565014031, 'recall': 0.728515625, 'f1-score': 0.712852365026278, 'support': 1024.0}, 'NonFlaky': {'precision': 0.7821316614420063, 'recall': 0.7554882664647994, 'f1-score': 0.7685791297651137, 'support': 1321.0}, 'accuracy': 0.7437100213219616, 'macro avg': {'precision': 0.7399900589717048, 'recall': 0.7420019457323996, 'f1-score': 0.7407157473956958, 'support': 2345.0}, 'weighted avg': {'precision': 0.745327396256856, 'recall': 0.7437100213219616, 'f1-score': 0.7442447130945091, 'support': 2345.0}}</t>
  </si>
  <si>
    <t>[[746 278]
 [323 998]]</t>
  </si>
  <si>
    <t>{'Flaky': {'precision': 0.7151841868823001, 'recall': 0.77734375, 'f1-score': 0.7449695835283107, 'support': 1024.0}, 'NonFlaky': {'precision': 0.814935064935065, 'recall': 0.7600302800908403, 'f1-score': 0.7865256560908734, 'support': 1321.0}, 'accuracy': 0.767590618336887, 'macro avg': {'precision': 0.7650596259086826, 'recall': 0.7686870150454201, 'f1-score': 0.765747619809592, 'support': 2345.0}, 'weighted avg': {'precision': 0.7713764725572265, 'recall': 0.767590618336887, 'f1-score': 0.7683792090528929, 'support': 2345.0}}</t>
  </si>
  <si>
    <t>[[ 796  228]
 [ 317 1004]]</t>
  </si>
  <si>
    <t>{'Flaky': {'precision': 0.44390243902439025, 'recall': 0.5260115606936416, 'f1-score': 0.48148148148148145, 'support': 173.0}, 'NonFlaky': {'precision': 0.652542372881356, 'recall': 0.5746268656716418, 'f1-score': 0.611111111111111, 'support': 268.0}, 'accuracy': 0.5555555555555556, 'macro avg': {'precision': 0.5482224059528731, 'recall': 0.5503192131826418, 'f1-score': 0.5462962962962963, 'support': 441.0}, 'weighted avg': {'precision': 0.5706949611869001, 'recall': 0.5555555555555556, 'f1-score': 0.5602586713697825, 'support': 441.0}}</t>
  </si>
  <si>
    <t>[[ 91  82]
 [114 154]]</t>
  </si>
  <si>
    <t>{'Flaky': {'precision': 0.6869565217391305, 'recall': 0.45664739884393063, 'f1-score': 0.5486111111111112, 'support': 173.0}, 'NonFlaky': {'precision': 0.7116564417177914, 'recall': 0.8656716417910447, 'f1-score': 0.7811447811447811, 'support': 268.0}, 'accuracy': 0.7052154195011338, 'macro avg': {'precision': 0.6993064817284609, 'recall': 0.6611595203174877, 'f1-score': 0.6648779461279462, 'support': 441.0}, 'weighted avg': {'precision': 0.7019669039483847, 'recall': 0.7052154195011338, 'f1-score': 0.689924089725677, 'support': 441.0}}</t>
  </si>
  <si>
    <t>[[ 79  94]
 [ 36 232]]</t>
  </si>
  <si>
    <t>{'Flaky': {'precision': 0.5966386554621849, 'recall': 0.8208092485549133, 'f1-score': 0.6909975669099756, 'support': 173.0}, 'NonFlaky': {'precision': 0.8472906403940886, 'recall': 0.6417910447761194, 'f1-score': 0.7303609341825902, 'support': 268.0}, 'accuracy': 0.7120181405895691, 'macro avg': {'precision': 0.7219646479281367, 'recall': 0.7313001466655163, 'f1-score': 0.7106792505462829, 'support': 441.0}, 'weighted avg': {'precision': 0.7489623107042488, 'recall': 0.7120181405895691, 'f1-score': 0.7149190690166892, 'support': 441.0}}</t>
  </si>
  <si>
    <t>[[142  31]
 [ 96 172]]</t>
  </si>
  <si>
    <t>{'Flaky': {'precision': 0.5176848874598071, 'recall': 0.930635838150289, 'f1-score': 0.6652892561983471, 'support': 173.0}, 'NonFlaky': {'precision': 0.9076923076923077, 'recall': 0.44029850746268656, 'f1-score': 0.592964824120603, 'support': 268.0}, 'accuracy': 0.6326530612244898, 'macro avg': {'precision': 0.7126885975760574, 'recall': 0.6854671728064878, 'f1-score': 0.6291270401594751, 'support': 441.0}, 'weighted avg': {'precision': 0.7546961995285376, 'recall': 0.6326530612244898, 'f1-score': 0.621336993620489, 'support': 441.0}}</t>
  </si>
  <si>
    <t>[[161  12]
 [150 118]]</t>
  </si>
  <si>
    <t>{'Flaky': {'precision': 0.4666666666666667, 'recall': 0.16184971098265896, 'f1-score': 0.24034334763948495, 'support': 173.0}, 'NonFlaky': {'precision': 0.6194225721784777, 'recall': 0.8805970149253731, 'f1-score': 0.7272727272727273, 'support': 268.0}, 'accuracy': 0.5986394557823129, 'macro avg': {'precision': 0.5430446194225722, 'recall': 0.5212233629540161, 'f1-score': 0.4838080374561061, 'support': 441.0}, 'weighted avg': {'precision': 0.5594979199028693, 'recall': 0.5986394557823129, 'f1-score': 0.5362550794800948, 'support': 441.0}}</t>
  </si>
  <si>
    <t>[[ 28 145]
 [ 32 236]]</t>
  </si>
  <si>
    <t>{'Flaky': {'precision': 0.5416666666666666, 'recall': 0.6011560693641619, 'f1-score': 0.5698630136986301, 'support': 173.0}, 'NonFlaky': {'precision': 0.7228915662650602, 'recall': 0.6716417910447762, 'f1-score': 0.6963249516441006, 'support': 268.0}, 'accuracy': 0.6439909297052154, 'macro avg': {'precision': 0.6322791164658634, 'recall': 0.636398930204469, 'f1-score': 0.6330939826713653, 'support': 441.0}, 'weighted avg': {'precision': 0.6517988051981167, 'recall': 0.6439909297052154, 'f1-score': 0.6467151664636779, 'support': 441.0}}</t>
  </si>
  <si>
    <t>[[104  69]
 [ 88 180]]</t>
  </si>
  <si>
    <t>{'Flaky': {'precision': 0.6038647342995169, 'recall': 0.7225433526011561, 'f1-score': 0.6578947368421052, 'support': 173.0}, 'NonFlaky': {'precision': 0.7948717948717948, 'recall': 0.6940298507462687, 'f1-score': 0.7410358565737052, 'support': 268.0}, 'accuracy': 0.7052154195011338, 'macro avg': {'precision': 0.6993682645856558, 'recall': 0.7082866016737124, 'f1-score': 0.6994652967079051, 'support': 441.0}, 'weighted avg': {'precision': 0.7199415874364115, 'recall': 0.7052154195011338, 'f1-score': 0.708420405976048, 'support': 441.0}}</t>
  </si>
  <si>
    <t>[[125  48]
 [ 82 186]]</t>
  </si>
  <si>
    <t>{'Flaky': {'precision': 0.6052631578947368, 'recall': 0.7976878612716763, 'f1-score': 0.6882793017456359, 'support': 173.0}, 'NonFlaky': {'precision': 0.8356807511737089, 'recall': 0.664179104477612, 'f1-score': 0.7401247401247402, 'support': 268.0}, 'accuracy': 0.7165532879818595, 'macro avg': {'precision': 0.7204719545342229, 'recall': 0.7309334828746441, 'f1-score': 0.714202020935188, 'support': 441.0}, 'weighted avg': {'precision': 0.7452901760325249, 'recall': 0.7165532879818595, 'f1-score': 0.7197862801710325, 'support': 441.0}}</t>
  </si>
  <si>
    <t>[[138  35]
 [ 90 178]]</t>
  </si>
  <si>
    <t>{'Flaky': {'precision': 0.6293103448275862, 'recall': 0.5934959349593496, 'f1-score': 0.6108786610878661, 'support': 984.0}, 'NonFlaky': {'precision': 0.6835443037974683, 'recall': 0.7152317880794702, 'f1-score': 0.6990291262135923, 'support': 1208.0}, 'accuracy': 0.6605839416058394, 'macro avg': {'precision': 0.6564273243125273, 'recall': 0.6543638615194098, 'f1-score': 0.6549538936507292, 'support': 2192.0}, 'weighted avg': {'precision': 0.6591984025080686, 'recall': 0.6605839416058394, 'f1-score': 0.6594579320148174, 'support': 2192.0}}</t>
  </si>
  <si>
    <t>[[584 400]
 [344 864]]</t>
  </si>
  <si>
    <t>{'Flaky': {'precision': 0.7240773286467487, 'recall': 0.8373983739837398, 'f1-score': 0.7766258246936851, 'support': 984.0}, 'NonFlaky': {'precision': 0.8481973434535104, 'recall': 0.7400662251655629, 'f1-score': 0.7904509283819628, 'support': 1208.0}, 'accuracy': 0.7837591240875912, 'macro avg': {'precision': 0.7861373360501296, 'recall': 0.7887322995746513, 'f1-score': 0.783538376537824, 'support': 2192.0}, 'weighted avg': {'precision': 0.7924792346168984, 'recall': 0.7837591240875912, 'f1-score': 0.784244768697079, 'support': 2192.0}}</t>
  </si>
  <si>
    <t>[[824 160]
 [314 894]]</t>
  </si>
  <si>
    <t>{'Flaky': {'precision': 0.7432052483598875, 'recall': 0.8058943089430894, 'f1-score': 0.7732813261823501, 'support': 984.0}, 'NonFlaky': {'precision': 0.8302222222222222, 'recall': 0.7731788079470199, 'f1-score': 0.8006858122588941, 'support': 1208.0}, 'accuracy': 0.7878649635036497, 'macro avg': {'precision': 0.7867137352910549, 'recall': 0.7895365584450547, 'f1-score': 0.7869835692206222, 'support': 2192.0}, 'weighted avg': {'precision': 0.791159858043145, 'recall': 0.7878649635036497, 'f1-score': 0.788383798436212, 'support': 2192.0}}</t>
  </si>
  <si>
    <t>[[793 191]
 [274 934]]</t>
  </si>
  <si>
    <t>{'Flaky': {'precision': 0.7311361665221162, 'recall': 0.8567073170731707, 'f1-score': 0.7889564810481985, 'support': 984.0}, 'NonFlaky': {'precision': 0.8642925890279115, 'recall': 0.7433774834437086, 'f1-score': 0.7992879394748554, 'support': 1208.0}, 'accuracy': 0.7942518248175182, 'macro avg': {'precision': 0.7977143777750139, 'recall': 0.8000424002584396, 'f1-score': 0.794122210261527, 'support': 2192.0}, 'weighted avg': {'precision': 0.804517990603777, 'recall': 0.7942518248175182, 'f1-score': 0.7946500949986555, 'support': 2192.0}}</t>
  </si>
  <si>
    <t>[[843 141]
 [310 898]]</t>
  </si>
  <si>
    <t>{'Flaky': {'precision': 0.7068645640074211, 'recall': 0.774390243902439, 'f1-score': 0.7390882638215326, 'support': 984.0}, 'NonFlaky': {'precision': 0.800718132854578, 'recall': 0.7384105960264901, 'f1-score': 0.7683031869078379, 'support': 1208.0}, 'accuracy': 0.7545620437956204, 'macro avg': {'precision': 0.7537913484309996, 'recall': 0.7564004199644645, 'f1-score': 0.7536957253646852, 'support': 2192.0}, 'weighted avg': {'precision': 0.7585867862553068, 'recall': 0.7545620437956204, 'f1-score': 0.7551884586610659, 'support': 2192.0}}</t>
  </si>
  <si>
    <t>[[762 222]
 [316 892]]</t>
  </si>
  <si>
    <t>{'Flaky': {'precision': 0.6765704584040747, 'recall': 0.8099593495934959, 'f1-score': 0.7372802960222017, 'support': 984.0}, 'NonFlaky': {'precision': 0.8155818540433925, 'recall': 0.6846026490066225, 'f1-score': 0.7443744374437443, 'support': 1208.0}, 'accuracy': 0.7408759124087592, 'macro avg': {'precision': 0.7460761562237336, 'recall': 0.7472809993000592, 'f1-score': 0.740827366732973, 'support': 2192.0}, 'weighted avg': {'precision': 0.7531789282636987, 'recall': 0.7408759124087592, 'f1-score': 0.7411898411121759, 'support': 2192.0}}</t>
  </si>
  <si>
    <t>[[797 187]
 [381 827]]</t>
  </si>
  <si>
    <t>{'Flaky': {'precision': 0.7444551591128254, 'recall': 0.7845528455284553, 'f1-score': 0.763978228599703, 'support': 984.0}, 'NonFlaky': {'precision': 0.8164502164502164, 'recall': 0.7806291390728477, 'f1-score': 0.7981379602200591, 'support': 1208.0}, 'accuracy': 0.7823905109489051, 'macro avg': {'precision': 0.780452687781521, 'recall': 0.7825909923006515, 'f1-score': 0.781058094409881, 'support': 2192.0}, 'weighted avg': {'precision': 0.7841312673535044, 'recall': 0.7823905109489051, 'f1-score': 0.7828034821569066, 'support': 2192.0}}</t>
  </si>
  <si>
    <t>[[772 212]
 [265 943]]</t>
  </si>
  <si>
    <t>{'Flaky': {'precision': 0.7666034155597723, 'recall': 0.8211382113821138, 'f1-score': 0.7929342492639843, 'support': 984.0}, 'NonFlaky': {'precision': 0.8453427065026362, 'recall': 0.7963576158940397, 'f1-score': 0.8201193520886616, 'support': 1208.0}, 'accuracy': 0.8074817518248175, 'macro avg': {'precision': 0.8059730610312043, 'recall': 0.8087479136380769, 'f1-score': 0.8065268006763229, 'support': 2192.0}, 'weighted avg': {'precision': 0.8099962364808396, 'recall': 0.8074817518248175, 'f1-score': 0.8079158205286786, 'support': 2192.0}}</t>
  </si>
  <si>
    <t>[[808 176]
 [246 962]]</t>
  </si>
  <si>
    <t>{'Flaky': {'precision': 0.5828571428571429, 'recall': 0.5868814729574223, 'f1-score': 0.5848623853211008, 'support': 869.0}, 'NonFlaky': {'precision': 0.6706422018348623, 'recall': 0.666970802919708, 'f1-score': 0.6688014638609332, 'support': 1096.0}, 'accuracy': 0.6315521628498728, 'macro avg': {'precision': 0.6267496723460027, 'recall': 0.6269261379385651, 'f1-score': 0.626831924591017, 'support': 1965.0}, 'weighted avg': {'precision': 0.6318202088314842, 'recall': 0.6315521628498728, 'f1-score': 0.6316803141148191, 'support': 1965.0}}</t>
  </si>
  <si>
    <t>[[510 359]
 [365 731]]</t>
  </si>
  <si>
    <t>{'Flaky': {'precision': 0.7806524184476941, 'recall': 0.7986191024165707, 'f1-score': 0.7895335608646188, 'support': 869.0}, 'NonFlaky': {'precision': 0.837360594795539, 'recall': 0.8220802919708029, 'f1-score': 0.8296500920810314, 'support': 1096.0}, 'accuracy': 0.811704834605598, 'macro avg': {'precision': 0.8090065066216166, 'recall': 0.8103496971936868, 'f1-score': 0.809591826472825, 'support': 1965.0}, 'weighted avg': {'precision': 0.8122820170620646, 'recall': 0.811704834605598, 'f1-score': 0.811908989980745, 'support': 1965.0}}</t>
  </si>
  <si>
    <t>[[694 175]
 [195 901]]</t>
  </si>
  <si>
    <t>{'Flaky': {'precision': 0.813599062133646, 'recall': 0.7986191024165707, 'f1-score': 0.8060394889663183, 'support': 869.0}, 'NonFlaky': {'precision': 0.8426258992805755, 'recall': 0.8549270072992701, 'f1-score': 0.848731884057971, 'support': 1096.0}, 'accuracy': 0.8300254452926209, 'macro avg': {'precision': 0.8281124807071107, 'recall': 0.8267730548579204, 'f1-score': 0.8273856865121446, 'support': 1965.0}, 'weighted avg': {'precision': 0.8297890944558011, 'recall': 0.8300254452926209, 'f1-score': 0.829851634014894, 'support': 1965.0}}</t>
  </si>
  <si>
    <t>[[694 175]
 [159 937]]</t>
  </si>
  <si>
    <t>{'Flaky': {'precision': 0.7525879917184265, 'recall': 0.8365937859608745, 'f1-score': 0.7923705722070844, 'support': 869.0}, 'NonFlaky': {'precision': 0.8578578578578578, 'recall': 0.781934306569343, 'f1-score': 0.8181384248210024, 'support': 1096.0}, 'accuracy': 0.8061068702290076, 'macro avg': {'precision': 0.8052229247881422, 'recall': 0.8092640462651088, 'f1-score': 0.8052544985140434, 'support': 1965.0}, 'weighted avg': {'precision': 0.8113033979722772, 'recall': 0.8061068702290076, 'f1-score': 0.8067428706624808, 'support': 1965.0}}</t>
  </si>
  <si>
    <t>[[727 142]
 [239 857]]</t>
  </si>
  <si>
    <t>{'Flaky': {'precision': 0.7651869158878505, 'recall': 0.7537399309551208, 'f1-score': 0.7594202898550725, 'support': 869.0}, 'NonFlaky': {'precision': 0.8070333633904418, 'recall': 0.8166058394160584, 'f1-score': 0.8117913832199546, 'support': 1096.0}, 'accuracy': 0.7888040712468194, 'macro avg': {'precision': 0.7861101396391461, 'recall': 0.7851728851855896, 'f1-score': 0.7856058365375136, 'support': 1965.0}, 'weighted avg': {'precision': 0.7885272245203391, 'recall': 0.7888040712468194, 'f1-score': 0.7886308335333986, 'support': 1965.0}}</t>
  </si>
  <si>
    <t>[[655 214]
 [201 895]]</t>
  </si>
  <si>
    <t>{'Flaky': {'precision': 0.7112831858407079, 'recall': 0.7399309551208285, 'f1-score': 0.7253243090806543, 'support': 869.0}, 'NonFlaky': {'precision': 0.7869934024505184, 'recall': 0.7618613138686131, 'f1-score': 0.7742234585071859, 'support': 1096.0}, 'accuracy': 0.7521628498727735, 'macro avg': {'precision': 0.7491382941456132, 'recall': 0.7508961344947208, 'f1-score': 0.7497738837939201, 'support': 1965.0}, 'weighted avg': {'precision': 0.7535113779039916, 'recall': 0.7521628498727735, 'f1-score': 0.7525983384808979, 'support': 1965.0}}</t>
  </si>
  <si>
    <t>[[643 226]
 [261 835]]</t>
  </si>
  <si>
    <t>{'Flaky': {'precision': 0.7702857142857142, 'recall': 0.7756041426927502, 'f1-score': 0.7729357798165137, 'support': 869.0}, 'NonFlaky': {'precision': 0.8211009174311926, 'recall': 0.8166058394160584, 'f1-score': 0.8188472095150959, 'support': 1096.0}, 'accuracy': 0.7984732824427481, 'macro avg': {'precision': 0.7956933158584534, 'recall': 0.7961049910544042, 'f1-score': 0.7958914946658049, 'support': 1965.0}, 'weighted avg': {'precision': 0.7986284433683831, 'recall': 0.7984732824427481, 'f1-score': 0.7985433762285473, 'support': 1965.0}}</t>
  </si>
  <si>
    <t>[[674 195]
 [201 895]]</t>
  </si>
  <si>
    <t>{'Flaky': {'precision': 0.8355501813784765, 'recall': 0.7951668584579977, 'f1-score': 0.8148584905660377, 'support': 869.0}, 'NonFlaky': {'precision': 0.843585237258348, 'recall': 0.8759124087591241, 'f1-score': 0.8594449418084155, 'support': 1096.0}, 'accuracy': 0.8402035623409669, 'macro avg': {'precision': 0.8395677093184122, 'recall': 0.835539633608561, 'f1-score': 0.8371517161872266, 'support': 1965.0}, 'weighted avg': {'precision': 0.8400318206885727, 'recall': 0.8402035623409669, 'f1-score': 0.8397270659154759, 'support': 1965.0}}</t>
  </si>
  <si>
    <t>[[691 178]
 [136 960]]</t>
  </si>
  <si>
    <t>{'Flaky': {'precision': 0.4473684210526316, 'recall': 0.85, 'f1-score': 0.5862068965517242, 'support': 20.0}, 'NonFlaky': {'precision': 0.9423076923076923, 'recall': 0.7, 'f1-score': 0.8032786885245902, 'support': 70.0}, 'accuracy': 0.7333333333333333, 'macro avg': {'precision': 0.694838056680162, 'recall': 0.7749999999999999, 'f1-score': 0.6947427925381572, 'support': 90.0}, 'weighted avg': {'precision': 0.8323211875843455, 'recall': 0.7333333333333333, 'f1-score': 0.75504051253062, 'support': 90.0}}</t>
  </si>
  <si>
    <t>[[17  3]
 [21 49]]</t>
  </si>
  <si>
    <t>{'Flaky': {'precision': 1.0, 'recall': 0.4, 'f1-score': 0.5714285714285715, 'support': 20.0}, 'NonFlaky': {'precision': 0.8536585365853658, 'recall': 1.0, 'f1-score': 0.9210526315789475, 'support': 70.0}, 'accuracy': 0.8666666666666667, 'macro avg': {'precision': 0.9268292682926829, 'recall': 0.7, 'f1-score': 0.7462406015037595, 'support': 90.0}, 'weighted avg': {'precision': 0.8861788617886178, 'recall': 0.8666666666666667, 'f1-score': 0.843358395989975, 'support': 90.0}}</t>
  </si>
  <si>
    <t>[[ 8 12]
 [ 0 70]]</t>
  </si>
  <si>
    <t>{'Flaky': {'precision': 0.7391304347826086, 'recall': 0.85, 'f1-score': 0.7906976744186046, 'support': 20.0}, 'NonFlaky': {'precision': 0.9552238805970149, 'recall': 0.9142857142857143, 'f1-score': 0.9343065693430657, 'support': 70.0}, 'accuracy': 0.9, 'macro avg': {'precision': 0.8471771576898117, 'recall': 0.8821428571428571, 'f1-score': 0.8625021218808351, 'support': 90.0}, 'weighted avg': {'precision': 0.9072031148604801, 'recall': 0.9, 'f1-score': 0.9023934815820742, 'support': 90.0}}</t>
  </si>
  <si>
    <t>[[17  3]
 [ 6 64]]</t>
  </si>
  <si>
    <t>{'Flaky': {'precision': 0.45454545454545453, 'recall': 1.0, 'f1-score': 0.625, 'support': 20.0}, 'NonFlaky': {'precision': 1.0, 'recall': 0.6571428571428571, 'f1-score': 0.7931034482758621, 'support': 70.0}, 'accuracy': 0.7333333333333333, 'macro avg': {'precision': 0.7272727272727273, 'recall': 0.8285714285714285, 'f1-score': 0.709051724137931, 'support': 90.0}, 'weighted avg': {'precision': 0.8787878787878788, 'recall': 0.7333333333333333, 'f1-score': 0.7557471264367817, 'support': 90.0}}</t>
  </si>
  <si>
    <t>[[20  0]
 [24 46]]</t>
  </si>
  <si>
    <t>{'Flaky': {'precision': 0.4, 'recall': 0.1, 'f1-score': 0.16000000000000003, 'support': 20.0}, 'NonFlaky': {'precision': 0.788235294117647, 'recall': 0.9571428571428572, 'f1-score': 0.864516129032258, 'support': 70.0}, 'accuracy': 0.7666666666666667, 'macro avg': {'precision': 0.5941176470588235, 'recall': 0.5285714285714286, 'f1-score': 0.512258064516129, 'support': 90.0}, 'weighted avg': {'precision': 0.7019607843137254, 'recall': 0.7666666666666667, 'f1-score': 0.7079569892473119, 'support': 90.0}}</t>
  </si>
  <si>
    <t>[[ 2 18]
 [ 3 67]]</t>
  </si>
  <si>
    <t>{'Flaky': {'precision': 0.9166666666666666, 'recall': 0.55, 'f1-score': 0.6874999999999999, 'support': 20.0}, 'NonFlaky': {'precision': 0.8846153846153846, 'recall': 0.9857142857142858, 'f1-score': 0.9324324324324325, 'support': 70.0}, 'accuracy': 0.8888888888888888, 'macro avg': {'precision': 0.9006410256410255, 'recall': 0.7678571428571429, 'f1-score': 0.8099662162162162, 'support': 90.0}, 'weighted avg': {'precision': 0.8917378917378916, 'recall': 0.8888888888888888, 'f1-score': 0.878003003003003, 'support': 90.0}}</t>
  </si>
  <si>
    <t>[[11  9]
 [ 1 69]]</t>
  </si>
  <si>
    <t>{'Flaky': {'precision': 0.75, 'recall': 0.75, 'f1-score': 0.75, 'support': 20.0}, 'NonFlaky': {'precision': 0.9285714285714286, 'recall': 0.9285714285714286, 'f1-score': 0.9285714285714286, 'support': 70.0}, 'accuracy': 0.8888888888888888, 'macro avg': {'precision': 0.8392857142857143, 'recall': 0.8392857142857143, 'f1-score': 0.8392857142857143, 'support': 90.0}, 'weighted avg': {'precision': 0.8888888888888888, 'recall': 0.8888888888888888, 'f1-score': 0.8888888888888888, 'support': 90.0}}</t>
  </si>
  <si>
    <t>[[15  5]
 [ 5 65]]</t>
  </si>
  <si>
    <t>{'Flaky': {'precision': 0.6428571428571429, 'recall': 0.9, 'f1-score': 0.75, 'support': 20.0}, 'NonFlaky': {'precision': 0.967741935483871, 'recall': 0.8571428571428571, 'f1-score': 0.909090909090909, 'support': 70.0}, 'accuracy': 0.8666666666666667, 'macro avg': {'precision': 0.8052995391705069, 'recall': 0.8785714285714286, 'f1-score': 0.8295454545454545, 'support': 90.0}, 'weighted avg': {'precision': 0.8955453149001538, 'recall': 0.8666666666666667, 'f1-score': 0.8737373737373736, 'support': 90.0}}</t>
  </si>
  <si>
    <t>[[18  2]
 [10 60]]</t>
  </si>
  <si>
    <t>{'Flaky': {'precision': 0.38095238095238093, 'recall': 0.4, 'f1-score': 0.3902439024390244, 'support': 20.0}, 'NonFlaky': {'precision': 0.7894736842105263, 'recall': 0.7758620689655172, 'f1-score': 0.7826086956521741, 'support': 58.0}, 'accuracy': 0.6794871794871795, 'macro avg': {'precision': 0.5852130325814536, 'recall': 0.5879310344827586, 'f1-score': 0.5864262990455993, 'support': 78.0}, 'weighted avg': {'precision': 0.6847246320930532, 'recall': 0.6794871794871795, 'f1-score': 0.682002338418033, 'support': 78.0}}</t>
  </si>
  <si>
    <t>[[ 8 12]
 [13 45]]</t>
  </si>
  <si>
    <t>{'Flaky': {'precision': 1.0, 'recall': 0.9, 'f1-score': 0.9473684210526316, 'support': 20.0}, 'NonFlaky': {'precision': 0.9666666666666667, 'recall': 1.0, 'f1-score': 0.983050847457627, 'support': 58.0}, 'accuracy': 0.9743589743589743, 'macro avg': {'precision': 0.9833333333333334, 'recall': 0.95, 'f1-score': 0.9652096342551293, 'support': 78.0}, 'weighted avg': {'precision': 0.9752136752136752, 'recall': 0.9743589743589743, 'f1-score': 0.973901507353782, 'support': 78.0}}</t>
  </si>
  <si>
    <t>[[18  2]
 [ 0 58]]</t>
  </si>
  <si>
    <t>{'Flaky': {'precision': 1.0, 'recall': 0.75, 'f1-score': 0.8571428571428571, 'support': 20.0}, 'NonFlaky': {'precision': 0.9206349206349206, 'recall': 1.0, 'f1-score': 0.9586776859504132, 'support': 58.0}, 'accuracy': 0.9358974358974359, 'macro avg': {'precision': 0.9603174603174602, 'recall': 0.875, 'f1-score': 0.9079102715466352, 'support': 78.0}, 'weighted avg': {'precision': 0.9409849409849409, 'recall': 0.9358974358974359, 'f1-score': 0.9326431144612963, 'support': 78.0}}</t>
  </si>
  <si>
    <t>[[15  5]
 [ 0 58]]</t>
  </si>
  <si>
    <t>{'Flaky': {'precision': 1.0, 'recall': 0.25, 'f1-score': 0.4, 'support': 20.0}, 'NonFlaky': {'precision': 0.7945205479452054, 'recall': 1.0, 'f1-score': 0.8854961832061068, 'support': 58.0}, 'accuracy': 0.8076923076923077, 'macro avg': {'precision': 0.8972602739726028, 'recall': 0.625, 'f1-score': 0.6427480916030535, 'support': 78.0}, 'weighted avg': {'precision': 0.8472075869336143, 'recall': 0.8076923076923077, 'f1-score': 0.7610099823840282, 'support': 78.0}}</t>
  </si>
  <si>
    <t>[[ 5 15]
 [ 0 58]]</t>
  </si>
  <si>
    <t>{'Flaky': {'precision': 0.8235294117647058, 'recall': 0.7, 'f1-score': 0.7567567567567567, 'support': 20.0}, 'NonFlaky': {'precision': 0.9016393442622951, 'recall': 0.9482758620689655, 'f1-score': 0.9243697478991596, 'support': 58.0}, 'accuracy': 0.8846153846153846, 'macro avg': {'precision': 0.8625843780135005, 'recall': 0.8241379310344827, 'f1-score': 0.8405632523279581, 'support': 78.0}, 'weighted avg': {'precision': 0.8816111564424005, 'recall': 0.8846153846153846, 'f1-score': 0.881392057862646, 'support': 78.0}}</t>
  </si>
  <si>
    <t>[[14  6]
 [ 3 55]]</t>
  </si>
  <si>
    <t>{'Flaky': {'precision': 0.6333333333333333, 'recall': 0.95, 'f1-score': 0.7599999999999999, 'support': 20.0}, 'NonFlaky': {'precision': 0.9791666666666666, 'recall': 0.8103448275862069, 'f1-score': 0.8867924528301887, 'support': 58.0}, 'accuracy': 0.8461538461538461, 'macro avg': {'precision': 0.8062499999999999, 'recall': 0.8801724137931034, 'f1-score': 0.8233962264150942, 'support': 78.0}, 'weighted avg': {'precision': 0.8904914529914529, 'recall': 0.8461538461538461, 'f1-score': 0.8542815674891145, 'support': 78.0}}</t>
  </si>
  <si>
    <t>[[19  1]
 [11 47]]</t>
  </si>
  <si>
    <t>{'Flaky': {'precision': 1.0, 'recall': 0.85, 'f1-score': 0.9189189189189189, 'support': 20.0}, 'NonFlaky': {'precision': 0.9508196721311475, 'recall': 1.0, 'f1-score': 0.9747899159663865, 'support': 58.0}, 'accuracy': 0.9615384615384616, 'macro avg': {'precision': 0.9754098360655737, 'recall': 0.925, 'f1-score': 0.9468544174426528, 'support': 78.0}, 'weighted avg': {'precision': 0.9634300126103403, 'recall': 0.9615384615384616, 'f1-score': 0.9604640192875488, 'support': 78.0}}</t>
  </si>
  <si>
    <t>[[17  3]
 [ 0 58]]</t>
  </si>
  <si>
    <t>{'Flaky': {'precision': 0.826530612244898, 'recall': 0.7168141592920354, 'f1-score': 0.7677725118483414, 'support': 113.0}, 'NonFlaky': {'precision': 0.7142857142857143, 'recall': 0.8247422680412371, 'f1-score': 0.7655502392344499, 'support': 97.0}, 'accuracy': 0.7666666666666667, 'macro avg': {'precision': 0.7704081632653061, 'recall': 0.7707782136666362, 'f1-score': 0.7666613755413956, 'support': 210.0}, 'weighted avg': {'precision': 0.774684159378037, 'recall': 0.7666666666666667, 'f1-score': 0.7667460335457343, 'support': 210.0}}</t>
  </si>
  <si>
    <t>[[81 32]
 [17 80]]</t>
  </si>
  <si>
    <t>{'Flaky': {'precision': 0.8695652173913043, 'recall': 0.8849557522123894, 'f1-score': 0.8771929824561404, 'support': 113.0}, 'NonFlaky': {'precision': 0.8631578947368421, 'recall': 0.845360824742268, 'f1-score': 0.8541666666666666, 'support': 97.0}, 'accuracy': 0.8666666666666667, 'macro avg': {'precision': 0.8663615560640732, 'recall': 0.8651582884773288, 'f1-score': 0.8656798245614035, 'support': 210.0}, 'weighted avg': {'precision': 0.866605644546148, 'recall': 0.8666666666666667, 'f1-score': 0.8665570175438596, 'support': 210.0}}</t>
  </si>
  <si>
    <t>[[100  13]
 [ 15  82]]</t>
  </si>
  <si>
    <t>{'Flaky': {'precision': 0.8951612903225806, 'recall': 0.9823008849557522, 'f1-score': 0.9367088607594938, 'support': 113.0}, 'NonFlaky': {'precision': 0.9767441860465116, 'recall': 0.865979381443299, 'f1-score': 0.9180327868852459, 'support': 97.0}, 'accuracy': 0.9285714285714286, 'macro avg': {'precision': 0.935952738184546, 'recall': 0.9241401331995256, 'f1-score': 0.9273708238223699, 'support': 210.0}, 'weighted avg': {'precision': 0.932844818347444, 'recall': 0.9285714285714286, 'f1-score': 0.9280822933032935, 'support': 210.0}}</t>
  </si>
  <si>
    <t>[[111   2]
 [ 13  84]]</t>
  </si>
  <si>
    <t>{'Flaky': {'precision': 0.835820895522388, 'recall': 0.9911504424778761, 'f1-score': 0.9068825910931174, 'support': 113.0}, 'NonFlaky': {'precision': 0.9868421052631579, 'recall': 0.7731958762886598, 'f1-score': 0.8670520231213872, 'support': 97.0}, 'accuracy': 0.8904761904761904, 'macro avg': {'precision': 0.9113315003927729, 'recall': 0.882173159383268, 'f1-score': 0.8869673071072524, 'support': 210.0}, 'weighted avg': {'precision': 0.9055783114502673, 'recall': 0.8904761904761904, 'f1-score': 0.888484662077604, 'support': 210.0}}</t>
  </si>
  <si>
    <t>[[112   1]
 [ 22  75]]</t>
  </si>
  <si>
    <t>{'Flaky': {'precision': 0.8372093023255814, 'recall': 0.9557522123893806, 'f1-score': 0.8925619834710744, 'support': 113.0}, 'NonFlaky': {'precision': 0.9382716049382716, 'recall': 0.7835051546391752, 'f1-score': 0.8539325842696628, 'support': 97.0}, 'accuracy': 0.8761904761904762, 'macro avg': {'precision': 0.8877404536319264, 'recall': 0.8696286835142779, 'f1-score': 0.8732472838703687, 'support': 210.0}, 'weighted avg': {'precision': 0.883890461151443, 'recall': 0.8761904761904762, 'f1-score': 0.8747188800304224, 'support': 210.0}}</t>
  </si>
  <si>
    <t>[[108   5]
 [ 21  76]]</t>
  </si>
  <si>
    <t>{'Flaky': {'precision': 0.8818181818181818, 'recall': 0.8584070796460177, 'f1-score': 0.8699551569506726, 'support': 113.0}, 'NonFlaky': {'precision': 0.84, 'recall': 0.865979381443299, 'f1-score': 0.8527918781725888, 'support': 97.0}, 'accuracy': 0.861904761904762, 'macro avg': {'precision': 0.8609090909090908, 'recall': 0.8621932305446584, 'f1-score': 0.8613735175616307, 'support': 210.0}, 'weighted avg': {'precision': 0.8625021645021645, 'recall': 0.861904761904762, 'f1-score': 0.8620273567531767, 'support': 210.0}}</t>
  </si>
  <si>
    <t>[[97 16]
 [13 84]]</t>
  </si>
  <si>
    <t>{'Flaky': {'precision': 0.8135593220338984, 'recall': 0.8495575221238938, 'f1-score': 0.8311688311688311, 'support': 113.0}, 'NonFlaky': {'precision': 0.8152173913043478, 'recall': 0.7731958762886598, 'f1-score': 0.7936507936507937, 'support': 97.0}, 'accuracy': 0.8142857142857143, 'macro avg': {'precision': 0.814388356669123, 'recall': 0.8113766992062768, 'f1-score': 0.8124098124098125, 'support': 210.0}, 'weighted avg': {'precision': 0.8143251921254869, 'recall': 0.8142857142857143, 'f1-score': 0.8138390709819281, 'support': 210.0}}</t>
  </si>
  <si>
    <t>[[96 17]
 [22 75]]</t>
  </si>
  <si>
    <t>{'Flaky': {'precision': 0.8296296296296296, 'recall': 0.9911504424778761, 'f1-score': 0.9032258064516129, 'support': 113.0}, 'NonFlaky': {'precision': 0.9866666666666667, 'recall': 0.7628865979381443, 'f1-score': 0.8604651162790696, 'support': 97.0}, 'accuracy': 0.8857142857142857, 'macro avg': {'precision': 0.9081481481481481, 'recall': 0.8770185202080102, 'f1-score': 0.8818454613653413, 'support': 210.0}, 'weighted avg': {'precision': 0.9021657848324516, 'recall': 0.8857142857142857, 'f1-score': 0.8834744400385811, 'support': 210.0}}</t>
  </si>
  <si>
    <t>[[112   1]
 [ 23  74]]</t>
  </si>
  <si>
    <t>{'Flaky': {'precision': 0.5545556805399325, 'recall': 0.5793184488836662, 'f1-score': 0.5666666666666667, 'support': 851.0}, 'NonFlaky': {'precision': 0.6472906403940887, 'recall': 0.6239316239316239, 'f1-score': 0.6353965183752417, 'support': 1053.0}, 'accuracy': 0.6039915966386554, 'macro avg': {'precision': 0.6009231604670107, 'recall': 0.6016250364076451, 'f1-score': 0.6010315925209542, 'support': 1904.0}, 'weighted avg': {'precision': 0.605842399408854, 'recall': 0.6039915966386554, 'f1-score': 0.6046774512512936, 'support': 1904.0}}</t>
  </si>
  <si>
    <t>[[493 358]
 [396 657]]</t>
  </si>
  <si>
    <t>{'Flaky': {'precision': 0.8472727272727273, 'recall': 0.8213866039952996, 'f1-score': 0.8341288782816229, 'support': 851.0}, 'NonFlaky': {'precision': 0.8591288229842446, 'recall': 0.8803418803418803, 'f1-score': 0.8696060037523452, 'support': 1053.0}, 'accuracy': 0.8539915966386554, 'macro avg': {'precision': 0.853200775128486, 'recall': 0.8508642421685899, 'f1-score': 0.851867441016984, 'support': 1904.0}, 'weighted avg': {'precision': 0.8538296961720065, 'recall': 0.8539915966386554, 'f1-score': 0.8537493683660087, 'support': 1904.0}}</t>
  </si>
  <si>
    <t>[[699 152]
 [126 927]]</t>
  </si>
  <si>
    <t>{'Flaky': {'precision': 0.863013698630137, 'recall': 0.8143360752056404, 'f1-score': 0.837968561064087, 'support': 851.0}, 'NonFlaky': {'precision': 0.8564940962761126, 'recall': 0.8955365622032289, 'f1-score': 0.8755803156917363, 'support': 1053.0}, 'accuracy': 0.8592436974789915, 'macro avg': {'precision': 0.8597538974531248, 'recall': 0.8549363187044347, 'f1-score': 0.8567744383779117, 'support': 1904.0}, 'weighted avg': {'precision': 0.8594080572022023, 'recall': 0.8592436974789915, 'f1-score': 0.8587695997315843, 'support': 1904.0}}</t>
  </si>
  <si>
    <t>[[693 158]
 [110 943]]</t>
  </si>
  <si>
    <t>{'Flaky': {'precision': 0.7659115426105717, 'recall': 0.8343125734430082, 'f1-score': 0.7986501687289089, 'support': 851.0}, 'NonFlaky': {'precision': 0.8556806550665302, 'recall': 0.7939221272554606, 'f1-score': 0.8236453201970443, 'support': 1053.0}, 'accuracy': 0.8119747899159664, 'macro avg': {'precision': 0.810796098838551, 'recall': 0.8141173503492345, 'f1-score': 0.8111477444629767, 'support': 1904.0}, 'weighted avg': {'precision': 0.8155580107913093, 'recall': 0.8119747899159664, 'f1-score': 0.8124736427288809, 'support': 1904.0}}</t>
  </si>
  <si>
    <t>[[710 141]
 [217 836]]</t>
  </si>
  <si>
    <t>{'Flaky': {'precision': 0.7959183673469388, 'recall': 0.8249118683901293, 'f1-score': 0.8101557991921523, 'support': 851.0}, 'NonFlaky': {'precision': 0.8542074363992173, 'recall': 0.8290598290598291, 'f1-score': 0.8414457831325302, 'support': 1053.0}, 'accuracy': 0.8272058823529411, 'macro avg': {'precision': 0.825062901873078, 'recall': 0.8269858487249793, 'f1-score': 0.8258007911623413, 'support': 1904.0}, 'weighted avg': {'precision': 0.8281549165654521, 'recall': 0.8272058823529411, 'f1-score': 0.8274606064869094, 'support': 1904.0}}</t>
  </si>
  <si>
    <t>[[702 149]
 [180 873]]</t>
  </si>
  <si>
    <t>{'Flaky': {'precision': 0.7421875, 'recall': 0.781433607520564, 'f1-score': 0.7613050944476245, 'support': 851.0}, 'NonFlaky': {'precision': 0.8154761904761905, 'recall': 0.7806267806267806, 'f1-score': 0.7976710334788937, 'support': 1053.0}, 'accuracy': 0.7809873949579832, 'macro avg': {'precision': 0.7788318452380952, 'recall': 0.7810301940736724, 'f1-score': 0.7794880639632591, 'support': 1904.0}, 'weighted avg': {'precision': 0.7827195331257503, 'recall': 0.7809873949579832, 'f1-score': 0.7814171395106111, 'support': 1904.0}}</t>
  </si>
  <si>
    <t>[[665 186]
 [231 822]]</t>
  </si>
  <si>
    <t>{'Flaky': {'precision': 0.8192019950124688, 'recall': 0.7720329024676851, 'f1-score': 0.7949183303085301, 'support': 851.0}, 'NonFlaky': {'precision': 0.8239564428312159, 'recall': 0.862298195631529, 'f1-score': 0.8426914153132251, 'support': 1053.0}, 'accuracy': 0.821953781512605, 'macro avg': {'precision': 0.8215792189218424, 'recall': 0.817165549049607, 'f1-score': 0.8188048728108777, 'support': 1904.0}, 'weighted avg': {'precision': 0.8218314243996225, 'recall': 0.821953781512605, 'f1-score': 0.8213390543158535, 'support': 1904.0}}</t>
  </si>
  <si>
    <t>[[657 194]
 [145 908]]</t>
  </si>
  <si>
    <t>{'Flaky': {'precision': 0.8209658421672555, 'recall': 0.8190364277320799, 'f1-score': 0.8200000000000001, 'support': 851.0}, 'NonFlaky': {'precision': 0.8540284360189574, 'recall': 0.855650522317189, 'f1-score': 0.8548387096774194, 'support': 1053.0}, 'accuracy': 0.8392857142857143, 'macro avg': {'precision': 0.8374971390931065, 'recall': 0.8373434750246345, 'f1-score': 0.8374193548387097, 'support': 1904.0}, 'weighted avg': {'precision': 0.8392509846703239, 'recall': 0.8392857142857143, 'f1-score': 0.839267416644077, 'support': 1904.0}}</t>
  </si>
  <si>
    <t>[[697 154]
 [152 901]]</t>
  </si>
  <si>
    <t>C++</t>
  </si>
  <si>
    <t>Go</t>
  </si>
  <si>
    <t>JavaScript</t>
  </si>
  <si>
    <t>Flaky</t>
  </si>
  <si>
    <t>NonFlaky</t>
  </si>
  <si>
    <t>{'Flaky': {'precision': 0.375, 'recall': 0.9, 'f1-score': 0.5294117647058825, 'support': 10.0}, 'NonFlaky': {'precision': 0.6666666666666666, 'recall': 0.11764705882352941, 'f1-score': 0.2, 'support': 17.0}, 'accuracy': 0.4074074074074074, 'macro avg': {'precision': 0.5208333333333333, 'recall': 0.5088235294117647, 'f1-score': 0.3647058823529412, 'support': 27.0}, 'weighted avg': {'precision': 0.5586419753086419, 'recall': 0.4074074074074074, 'f1-score': 0.322004357298475, 'support': 27.0}}</t>
  </si>
  <si>
    <t>[[ 9  1]
 [15  2]]</t>
  </si>
  <si>
    <t>{'Flaky': {'precision': 1.0, 'recall': 0.2, 'f1-score': 0.33333333333333337, 'support': 10.0}, 'NonFlaky': {'precision': 0.68, 'recall': 1.0, 'f1-score': 0.8095238095238095, 'support': 17.0}, 'accuracy': 0.7037037037037037, 'macro avg': {'precision': 0.8400000000000001, 'recall': 0.6, 'f1-score': 0.5714285714285714, 'support': 27.0}, 'weighted avg': {'precision': 0.7985185185185186, 'recall': 0.7037037037037037, 'f1-score': 0.6331569664902998, 'support': 27.0}}</t>
  </si>
  <si>
    <t>[[ 2  8]
 [ 0 17]]</t>
  </si>
  <si>
    <t>{'Flaky': {'precision': 0.35294117647058826, 'recall': 0.6, 'f1-score': 0.4444444444444445, 'support': 10.0}, 'NonFlaky': {'precision': 0.6, 'recall': 0.35294117647058826, 'f1-score': 0.4444444444444445, 'support': 17.0}, 'accuracy': 0.4444444444444444, 'macro avg': {'precision': 0.4764705882352941, 'recall': 0.4764705882352941, 'f1-score': 0.4444444444444445, 'support': 27.0}, 'weighted avg': {'precision': 0.5084967320261438, 'recall': 0.4444444444444444, 'f1-score': 0.4444444444444444, 'support': 27.0}}</t>
  </si>
  <si>
    <t>[[ 6  4]
 [11  6]]</t>
  </si>
  <si>
    <t>{'Flaky': {'precision': 0.14285714285714285, 'recall': 0.1, 'f1-score': 0.11764705882352941, 'support': 10.0}, 'NonFlaky': {'precision': 0.55, 'recall': 0.6470588235294118, 'f1-score': 0.5945945945945946, 'support': 17.0}, 'accuracy': 0.4444444444444444, 'macro avg': {'precision': 0.3464285714285714, 'recall': 0.3735294117647059, 'f1-score': 0.35612082670906203, 'support': 27.0}, 'weighted avg': {'precision': 0.3992063492063493, 'recall': 0.4444444444444444, 'f1-score': 0.4179473591238297, 'support': 27.0}}</t>
  </si>
  <si>
    <t>[[ 1  9]
 [ 6 11]]</t>
  </si>
  <si>
    <t>{'Flaky': {'precision': 0.5, 'recall': 0.1, 'f1-score': 0.16666666666666669, 'support': 10.0}, 'NonFlaky': {'precision': 0.64, 'recall': 0.9411764705882353, 'f1-score': 0.7619047619047621, 'support': 17.0}, 'accuracy': 0.6296296296296297, 'macro avg': {'precision': 0.5700000000000001, 'recall': 0.5205882352941177, 'f1-score': 0.4642857142857144, 'support': 27.0}, 'weighted avg': {'precision': 0.5881481481481482, 'recall': 0.6296296296296297, 'f1-score': 0.5414462081128749, 'support': 27.0}}</t>
  </si>
  <si>
    <t>[[ 1  9]
 [ 1 16]]</t>
  </si>
  <si>
    <t>{'Flaky': {'precision': 1.0, 'recall': 0.1, 'f1-score': 0.18181818181818182, 'support': 10.0}, 'NonFlaky': {'precision': 0.6538461538461539, 'recall': 1.0, 'f1-score': 0.7906976744186047, 'support': 17.0}, 'accuracy': 0.6666666666666666, 'macro avg': {'precision': 0.8269230769230769, 'recall': 0.55, 'f1-score': 0.4862579281183933, 'support': 27.0}, 'weighted avg': {'precision': 0.7820512820512819, 'recall': 0.6666666666666666, 'f1-score': 0.5651867512332629, 'support': 27.0}}</t>
  </si>
  <si>
    <t>[[ 1  9]
 [ 0 17]]</t>
  </si>
  <si>
    <t>{'Flaky': {'precision': 0.30434782608695654, 'recall': 0.7, 'f1-score': 0.42424242424242425, 'support': 10.0}, 'NonFlaky': {'precision': 0.25, 'recall': 0.058823529411764705, 'f1-score': 0.09523809523809523, 'support': 17.0}, 'accuracy': 0.2962962962962963, 'macro avg': {'precision': 0.27717391304347827, 'recall': 0.37941176470588234, 'f1-score': 0.2597402597402597, 'support': 27.0}, 'weighted avg': {'precision': 0.2701288244766506, 'recall': 0.2962962962962963, 'f1-score': 0.21709155042488373, 'support': 27.0}}</t>
  </si>
  <si>
    <t>[[ 7  3]
 [16  1]]</t>
  </si>
  <si>
    <t>{'Flaky': {'precision': 0.4375, 'recall': 0.7, 'f1-score': 0.5384615384615384, 'support': 10.0}, 'NonFlaky': {'precision': 0.7272727272727273, 'recall': 0.47058823529411764, 'f1-score': 0.5714285714285714, 'support': 17.0}, 'accuracy': 0.5555555555555556, 'macro avg': {'precision': 0.5823863636363636, 'recall': 0.5852941176470587, 'f1-score': 0.554945054945055, 'support': 27.0}, 'weighted avg': {'precision': 0.6199494949494949, 'recall': 0.5555555555555556, 'f1-score': 0.5592185592185592, 'support': 27.0}}</t>
  </si>
  <si>
    <t>[[7 3]
 [9 8]]</t>
  </si>
  <si>
    <t>js-go</t>
  </si>
  <si>
    <t>{'Flaky': {'precision': 0.32, 'recall': 0.8, 'f1-score': 0.45714285714285713, 'support': 10.0}, 'NonFlaky': {'precision': 0.0, 'recall': 0.0, 'f1-score': 0.0, 'support': 17.0}, 'accuracy': 0.2962962962962963, 'macro avg': {'precision': 0.16, 'recall': 0.4, 'f1-score': 0.22857142857142856, 'support': 27.0}, 'weighted avg': {'precision': 0.11851851851851852, 'recall': 0.2962962962962963, 'f1-score': 0.1693121693121693, 'support': 27.0}}</t>
  </si>
  <si>
    <t>[[ 8  2]
 [17  0]]</t>
  </si>
  <si>
    <t>js-cpp</t>
  </si>
  <si>
    <t>js-python</t>
  </si>
  <si>
    <t>js-java</t>
  </si>
  <si>
    <t>{'Flaky': {'precision': 0.35294117647058826, 'recall': 0.46153846153846156, 'f1-score': 0.4000000000000001, 'support': 13.0}, 'NonFlaky': {'precision': 0.6818181818181818, 'recall': 0.5769230769230769, 'f1-score': 0.6249999999999999, 'support': 26.0}, 'accuracy': 0.5384615384615384, 'macro avg': {'precision': 0.517379679144385, 'recall': 0.5192307692307692, 'f1-score': 0.5125, 'support': 39.0}, 'weighted avg': {'precision': 0.572192513368984, 'recall': 0.5384615384615384, 'f1-score': 0.5499999999999999, 'support': 39.0}}</t>
  </si>
  <si>
    <t>[[ 6  7]
 [11 15]]</t>
  </si>
  <si>
    <t>{'Flaky': {'precision': 0.0, 'recall': 0.0, 'f1-score': 0.0, 'support': 13.0}, 'NonFlaky': {'precision': 0.6666666666666666, 'recall': 1.0, 'f1-score': 0.8, 'support': 26.0}, 'accuracy': 0.6666666666666666, 'macro avg': {'precision': 0.3333333333333333, 'recall': 0.5, 'f1-score': 0.4, 'support': 39.0}, 'weighted avg': {'precision': 0.4444444444444444, 'recall': 0.6666666666666666, 'f1-score': 0.5333333333333333, 'support': 39.0}}</t>
  </si>
  <si>
    <t>[[ 0 13]
 [ 0 26]]</t>
  </si>
  <si>
    <t>{'Flaky': {'precision': 0.3333333333333333, 'recall': 0.46153846153846156, 'f1-score': 0.3870967741935484, 'support': 13.0}, 'NonFlaky': {'precision': 0.6666666666666666, 'recall': 0.5384615384615384, 'f1-score': 0.5957446808510638, 'support': 26.0}, 'accuracy': 0.5128205128205128, 'macro avg': {'precision': 0.5, 'recall': 0.5, 'f1-score': 0.4914207275223061, 'support': 39.0}, 'weighted avg': {'precision': 0.5555555555555555, 'recall': 0.5128205128205128, 'f1-score': 0.526195378631892, 'support': 39.0}}</t>
  </si>
  <si>
    <t>[[ 6  7]
 [12 14]]</t>
  </si>
  <si>
    <t>{'Flaky': {'precision': 0.4, 'recall': 0.6153846153846154, 'f1-score': 0.4848484848484849, 'support': 13.0}, 'NonFlaky': {'precision': 0.7368421052631579, 'recall': 0.5384615384615384, 'f1-score': 0.6222222222222222, 'support': 26.0}, 'accuracy': 0.5641025641025641, 'macro avg': {'precision': 0.5684210526315789, 'recall': 0.5769230769230769, 'f1-score': 0.5535353535353535, 'support': 39.0}, 'weighted avg': {'precision': 0.6245614035087719, 'recall': 0.5641025641025641, 'f1-score': 0.5764309764309764, 'support': 39.0}}</t>
  </si>
  <si>
    <t>[[ 8  5]
 [12 14]]</t>
  </si>
  <si>
    <t>{'Flaky': {'precision': 0.0, 'recall': 0.0, 'f1-score': 0.0, 'support': 13.0}, 'NonFlaky': {'precision': 0.6285714285714286, 'recall': 0.8461538461538461, 'f1-score': 0.721311475409836, 'support': 26.0}, 'accuracy': 0.5641025641025641, 'macro avg': {'precision': 0.3142857142857143, 'recall': 0.4230769230769231, 'f1-score': 0.360655737704918, 'support': 39.0}, 'weighted avg': {'precision': 0.419047619047619, 'recall': 0.5641025641025641, 'f1-score': 0.48087431693989063, 'support': 39.0}}</t>
  </si>
  <si>
    <t>[[ 0 13]
 [ 4 22]]</t>
  </si>
  <si>
    <t>{'Flaky': {'precision': 0.3793103448275862, 'recall': 0.8461538461538461, 'f1-score': 0.5238095238095238, 'support': 13.0}, 'NonFlaky': {'precision': 0.8, 'recall': 0.3076923076923077, 'f1-score': 0.4444444444444444, 'support': 26.0}, 'accuracy': 0.48717948717948717, 'macro avg': {'precision': 0.5896551724137931, 'recall': 0.5769230769230769, 'f1-score': 0.48412698412698413, 'support': 39.0}, 'weighted avg': {'precision': 0.6597701149425287, 'recall': 0.48717948717948717, 'f1-score': 0.470899470899471, 'support': 39.0}}</t>
  </si>
  <si>
    <t>[[11  2]
 [18  8]]</t>
  </si>
  <si>
    <t>go-js</t>
  </si>
  <si>
    <t>go-cpp</t>
  </si>
  <si>
    <t>go-python</t>
  </si>
  <si>
    <t>go-java</t>
  </si>
  <si>
    <t>{'Flaky': {'precision': 0.3333333333333333, 'recall': 1.0, 'f1-score': 0.5, 'support': 10.0}, 'NonFlaky': {'precision': 1.0, 'recall': 0.13043478260869565, 'f1-score': 0.23076923076923078, 'support': 23.0}, 'accuracy': 0.3939393939393939, 'macro avg': {'precision': 0.6666666666666666, 'recall': 0.5652173913043478, 'f1-score': 0.3653846153846154, 'support': 33.0}, 'weighted avg': {'precision': 0.7979797979797979, 'recall': 0.3939393939393939, 'f1-score': 0.3123543123543124, 'support': 33.0}}</t>
  </si>
  <si>
    <t>[[10  0]
 [20  3]]</t>
  </si>
  <si>
    <t>{'Flaky': {'precision': 0.4166666666666667, 'recall': 0.5, 'f1-score': 0.45454545454545453, 'support': 10.0}, 'NonFlaky': {'precision': 0.7619047619047619, 'recall': 0.6956521739130435, 'f1-score': 0.7272727272727272, 'support': 23.0}, 'accuracy': 0.6363636363636364, 'macro avg': {'precision': 0.5892857142857143, 'recall': 0.5978260869565217, 'f1-score': 0.5909090909090908, 'support': 33.0}, 'weighted avg': {'precision': 0.6572871572871573, 'recall': 0.6363636363636364, 'f1-score': 0.6446280991735538, 'support': 33.0}}</t>
  </si>
  <si>
    <t>[[ 5  5]
 [ 7 16]]</t>
  </si>
  <si>
    <t>{'Flaky': {'precision': 0.37037037037037035, 'recall': 1.0, 'f1-score': 0.5405405405405406, 'support': 10.0}, 'NonFlaky': {'precision': 1.0, 'recall': 0.2608695652173913, 'f1-score': 0.41379310344827586, 'support': 23.0}, 'accuracy': 0.48484848484848486, 'macro avg': {'precision': 0.6851851851851851, 'recall': 0.6304347826086957, 'f1-score': 0.4771668219944082, 'support': 33.0}, 'weighted avg': {'precision': 0.8092031425364759, 'recall': 0.48484848484848486, 'f1-score': 0.4522014177186591, 'support': 33.0}}</t>
  </si>
  <si>
    <t>[[10  0]
 [17  6]]</t>
  </si>
  <si>
    <t>{'Flaky': {'precision': 0.42857142857142855, 'recall': 0.3, 'f1-score': 0.3529411764705882, 'support': 10.0}, 'NonFlaky': {'precision': 0.7307692307692307, 'recall': 0.8260869565217391, 'f1-score': 0.7755102040816326, 'support': 23.0}, 'accuracy': 0.6666666666666666, 'macro avg': {'precision': 0.5796703296703296, 'recall': 0.5630434782608695, 'f1-score': 0.5642256902761105, 'support': 33.0}, 'weighted avg': {'precision': 0.6391941391941391, 'recall': 0.6666666666666666, 'f1-score': 0.6474589835934372, 'support': 33.0}}</t>
  </si>
  <si>
    <t>[[ 3  7]
 [ 4 19]]</t>
  </si>
  <si>
    <t>{'Flaky': {'precision': 0.4, 'recall': 0.8, 'f1-score': 0.5333333333333333, 'support': 10.0}, 'NonFlaky': {'precision': 0.8461538461538461, 'recall': 0.4782608695652174, 'f1-score': 0.6111111111111112, 'support': 23.0}, 'accuracy': 0.5757575757575758, 'macro avg': {'precision': 0.6230769230769231, 'recall': 0.6391304347826088, 'f1-score': 0.5722222222222222, 'support': 33.0}, 'weighted avg': {'precision': 0.7109557109557109, 'recall': 0.5757575757575758, 'f1-score': 0.5875420875420876, 'support': 33.0}}</t>
  </si>
  <si>
    <t>[[ 8  2]
 [12 11]]</t>
  </si>
  <si>
    <t>{'Flaky': {'precision': 0.3225806451612903, 'recall': 1.0, 'f1-score': 0.4878048780487805, 'support': 10.0}, 'NonFlaky': {'precision': 1.0, 'recall': 0.08695652173913043, 'f1-score': 0.16, 'support': 23.0}, 'accuracy': 0.36363636363636365, 'macro avg': {'precision': 0.6612903225806451, 'recall': 0.5434782608695652, 'f1-score': 0.32390243902439025, 'support': 33.0}, 'weighted avg': {'precision': 0.7947214076246335, 'recall': 0.36363636363636365, 'f1-score': 0.2593348115299335, 'support': 33.0}}</t>
  </si>
  <si>
    <t>[[10  0]
 [21  2]]</t>
  </si>
  <si>
    <t>{'Flaky': {'precision': 0.30303030303030304, 'recall': 1.0, 'f1-score': 0.4651162790697675, 'support': 10.0}, 'NonFlaky': {'precision': 0.0, 'recall': 0.0, 'f1-score': 0.0, 'support': 23.0}, 'accuracy': 0.30303030303030304, 'macro avg': {'precision': 0.15151515151515152, 'recall': 0.5, 'f1-score': 0.23255813953488375, 'support': 33.0}, 'weighted avg': {'precision': 0.09182736455463728, 'recall': 0.30303030303030304, 'f1-score': 0.14094432699083861, 'support': 33.0}}</t>
  </si>
  <si>
    <t>[[10  0]
 [23  0]]</t>
  </si>
  <si>
    <t>{'Flaky': {'precision': 0.3076923076923077, 'recall': 0.8, 'f1-score': 0.4444444444444444, 'support': 10.0}, 'NonFlaky': {'precision': 0.7142857142857143, 'recall': 0.21739130434782608, 'f1-score': 0.3333333333333333, 'support': 23.0}, 'accuracy': 0.3939393939393939, 'macro avg': {'precision': 0.510989010989011, 'recall': 0.5086956521739131, 'f1-score': 0.38888888888888884, 'support': 33.0}, 'weighted avg': {'precision': 0.5910755910755912, 'recall': 0.3939393939393939, 'f1-score': 0.367003367003367, 'support': 33.0}}</t>
  </si>
  <si>
    <t>[[ 8  2]
 [18  5]]</t>
  </si>
  <si>
    <t>cpp-js</t>
  </si>
  <si>
    <t>cpp-go</t>
  </si>
  <si>
    <t>cpp-python</t>
  </si>
  <si>
    <t>cpp-java</t>
  </si>
  <si>
    <t>{'Flaky': {'precision': 0.3333333333333333, 'recall': 0.4, 'f1-score': 0.3636363636363636, 'support': 10.0}, 'NonFlaky': {'precision': 0.6666666666666666, 'recall': 0.6, 'f1-score': 0.631578947368421, 'support': 20.0}, 'accuracy': 0.5333333333333333, 'macro avg': {'precision': 0.5, 'recall': 0.5, 'f1-score': 0.4976076555023923, 'support': 30.0}, 'weighted avg': {'precision': 0.5555555555555555, 'recall': 0.5333333333333333, 'f1-score': 0.5422647527910686, 'support': 30.0}}</t>
  </si>
  <si>
    <t>[[ 4  6]
 [ 8 12]]</t>
  </si>
  <si>
    <t>{'Flaky': {'precision': 0.3333333333333333, 'recall': 1.0, 'f1-score': 0.5, 'support': 10.0}, 'NonFlaky': {'precision': 0.0, 'recall': 0.0, 'f1-score': 0.0, 'support': 20.0}, 'accuracy': 0.3333333333333333, 'macro avg': {'precision': 0.16666666666666666, 'recall': 0.5, 'f1-score': 0.25, 'support': 30.0}, 'weighted avg': {'precision': 0.1111111111111111, 'recall': 0.3333333333333333, 'f1-score': 0.16666666666666666, 'support': 30.0}}</t>
  </si>
  <si>
    <t>[[10  0]
 [20  0]]</t>
  </si>
  <si>
    <t>{'Flaky': {'precision': 0.3448275862068966, 'recall': 1.0, 'f1-score': 0.5128205128205129, 'support': 10.0}, 'NonFlaky': {'precision': 1.0, 'recall': 0.05, 'f1-score': 0.09523809523809523, 'support': 20.0}, 'accuracy': 0.36666666666666664, 'macro avg': {'precision': 0.6724137931034483, 'recall': 0.525, 'f1-score': 0.30402930402930406, 'support': 30.0}, 'weighted avg': {'precision': 0.7816091954022988, 'recall': 0.36666666666666664, 'f1-score': 0.23443223443223443, 'support': 30.0}}</t>
  </si>
  <si>
    <t>[[10  0]
 [19  1]]</t>
  </si>
  <si>
    <t>{'Flaky': {'precision': 0.2857142857142857, 'recall': 0.8, 'f1-score': 0.4210526315789473, 'support': 10.0}, 'NonFlaky': {'precision': 0.0, 'recall': 0.0, 'f1-score': 0.0, 'support': 20.0}, 'accuracy': 0.26666666666666666, 'macro avg': {'precision': 0.14285714285714285, 'recall': 0.4, 'f1-score': 0.21052631578947364, 'support': 30.0}, 'weighted avg': {'precision': 0.09523809523809522, 'recall': 0.26666666666666666, 'f1-score': 0.14035087719298242, 'support': 30.0}}</t>
  </si>
  <si>
    <t>[[ 8  2]
 [20  0]]</t>
  </si>
  <si>
    <t>{'Flaky': {'precision': 0.38095238095238093, 'recall': 0.8, 'f1-score': 0.5161290322580645, 'support': 10.0}, 'NonFlaky': {'precision': 0.7777777777777778, 'recall': 0.35, 'f1-score': 0.48275862068965514, 'support': 20.0}, 'accuracy': 0.5, 'macro avg': {'precision': 0.5793650793650793, 'recall': 0.575, 'f1-score': 0.4994438264738598, 'support': 30.0}, 'weighted avg': {'precision': 0.6455026455026455, 'recall': 0.5, 'f1-score': 0.49388209121245824, 'support': 30.0}}</t>
  </si>
  <si>
    <t>[[ 8  2]
 [13  7]]</t>
  </si>
  <si>
    <t>{'Flaky': {'precision': 0.22727272727272727, 'recall': 0.5, 'f1-score': 0.3125, 'support': 10.0}, 'NonFlaky': {'precision': 0.375, 'recall': 0.15, 'f1-score': 0.21428571428571425, 'support': 20.0}, 'accuracy': 0.26666666666666666, 'macro avg': {'precision': 0.30113636363636365, 'recall': 0.325, 'f1-score': 0.2633928571428571, 'support': 30.0}, 'weighted avg': {'precision': 0.3257575757575758, 'recall': 0.26666666666666666, 'f1-score': 0.24702380952380948, 'support': 30.0}}</t>
  </si>
  <si>
    <t>[[ 5  5]
 [17  3]]</t>
  </si>
  <si>
    <t>python-js</t>
  </si>
  <si>
    <t>python-go</t>
  </si>
  <si>
    <t>python-cpp</t>
  </si>
  <si>
    <t>{'Flaky': {'precision': 0.475, 'recall': 0.4634146341463415, 'f1-score': 0.4691358024691358, 'support': 41.0}, 'NonFlaky': {'precision': 0.56, 'recall': 0.5714285714285714, 'f1-score': 0.5656565656565656, 'support': 49.0}, 'accuracy': 0.5222222222222223, 'macro avg': {'precision': 0.5175000000000001, 'recall': 0.5174216027874564, 'f1-score': 0.5173961840628507, 'support': 90.0}, 'weighted avg': {'precision': 0.5212777777777777, 'recall': 0.5222222222222223, 'f1-score': 0.5216859957600698, 'support': 90.0}}</t>
  </si>
  <si>
    <t>[[19 22]
 [21 28]]</t>
  </si>
  <si>
    <t>{'Flaky': {'precision': 0.45555555555555555, 'recall': 1.0, 'f1-score': 0.6259541984732825, 'support': 41.0}, 'NonFlaky': {'precision': 0.0, 'recall': 0.0, 'f1-score': 0.0, 'support': 49.0}, 'accuracy': 0.45555555555555555, 'macro avg': {'precision': 0.22777777777777777, 'recall': 0.5, 'f1-score': 0.31297709923664124, 'support': 90.0}, 'weighted avg': {'precision': 0.20753086419753086, 'recall': 0.45555555555555555, 'f1-score': 0.2851569126378287, 'support': 90.0}}</t>
  </si>
  <si>
    <t>[[41  0]
 [49  0]]</t>
  </si>
  <si>
    <t>{'Flaky': {'precision': 0.4659090909090909, 'recall': 1.0, 'f1-score': 0.6356589147286822, 'support': 41.0}, 'NonFlaky': {'precision': 1.0, 'recall': 0.04081632653061224, 'f1-score': 0.07843137254901959, 'support': 49.0}, 'accuracy': 0.4777777777777778, 'macro avg': {'precision': 0.7329545454545454, 'recall': 0.5204081632653061, 'f1-score': 0.35704514363885087, 'support': 90.0}, 'weighted avg': {'precision': 0.7566919191919191, 'recall': 0.4777777777777778, 'f1-score': 0.3322794750975326, 'support': 90.0}}</t>
  </si>
  <si>
    <t>[[41  0]
 [47  2]]</t>
  </si>
  <si>
    <t>{'Flaky': {'precision': 0.44047619047619047, 'recall': 0.9024390243902439, 'f1-score': 0.592, 'support': 41.0}, 'NonFlaky': {'precision': 0.3333333333333333, 'recall': 0.04081632653061224, 'f1-score': 0.07272727272727272, 'support': 49.0}, 'accuracy': 0.43333333333333335, 'macro avg': {'precision': 0.38690476190476186, 'recall': 0.4716276754604281, 'f1-score': 0.33236363636363636, 'support': 90.0}, 'weighted avg': {'precision': 0.3821428571428571, 'recall': 0.43333333333333335, 'f1-score': 0.30928484848484844, 'support': 90.0}}</t>
  </si>
  <si>
    <t>[[37  4]
 [47  2]]</t>
  </si>
  <si>
    <t>{'Flaky': {'precision': 0.47126436781609193, 'recall': 1.0, 'f1-score': 0.640625, 'support': 41.0}, 'NonFlaky': {'precision': 1.0, 'recall': 0.061224489795918366, 'f1-score': 0.11538461538461538, 'support': 49.0}, 'accuracy': 0.4888888888888889, 'macro avg': {'precision': 0.735632183908046, 'recall': 0.5306122448979592, 'f1-score': 0.3780048076923077, 'support': 90.0}, 'weighted avg': {'precision': 0.7591315453384418, 'recall': 0.4888888888888889, 'f1-score': 0.3546607905982906, 'support': 90.0}}</t>
  </si>
  <si>
    <t>[[41  0]
 [46  3]]</t>
  </si>
  <si>
    <t>{'Flaky': {'precision': 0.47692307692307695, 'recall': 0.7560975609756098, 'f1-score': 0.5849056603773585, 'support': 41.0}, 'NonFlaky': {'precision': 0.6, 'recall': 0.30612244897959184, 'f1-score': 0.40540540540540543, 'support': 49.0}, 'accuracy': 0.5111111111111111, 'macro avg': {'precision': 0.5384615384615384, 'recall': 0.5311100049776007, 'f1-score': 0.4951555328913819, 'support': 90.0}, 'weighted avg': {'precision': 0.543931623931624, 'recall': 0.5111111111111111, 'f1-score': 0.48717774378151735, 'support': 90.0}}</t>
  </si>
  <si>
    <t>[[31 10]
 [34 15]]</t>
  </si>
  <si>
    <t>{'Flaky': {'precision': 0.38235294117647056, 'recall': 0.6341463414634146, 'f1-score': 0.4770642201834862, 'support': 41.0}, 'NonFlaky': {'precision': 0.3181818181818182, 'recall': 0.14285714285714285, 'f1-score': 0.19718309859154928, 'support': 49.0}, 'accuracy': 0.36666666666666664, 'macro avg': {'precision': 0.35026737967914434, 'recall': 0.3885017421602788, 'f1-score': 0.33712365938751776, 'support': 90.0}, 'weighted avg': {'precision': 0.34741532976827094, 'recall': 0.36666666666666664, 'f1-score': 0.32468449842787606, 'support': 90.0}}</t>
  </si>
  <si>
    <t>[[26 15]
 [42  7]]</t>
  </si>
  <si>
    <t>{'Flaky': {'precision': 0.4606741573033708, 'recall': 1.0, 'f1-score': 0.6307692307692307, 'support': 41.0}, 'NonFlaky': {'precision': 1.0, 'recall': 0.02040816326530612, 'f1-score': 0.039999999999999994, 'support': 49.0}, 'accuracy': 0.4666666666666667, 'macro avg': {'precision': 0.7303370786516854, 'recall': 0.5102040816326531, 'f1-score': 0.3353846153846154, 'support': 90.0}, 'weighted avg': {'precision': 0.754307116104869, 'recall': 0.4666666666666667, 'f1-score': 0.30912820512820516, 'support': 90.0}}</t>
  </si>
  <si>
    <t>[[41  0]
 [48  1]]</t>
  </si>
  <si>
    <t>python-java</t>
  </si>
  <si>
    <t>{'Flaky': {'precision': 0.36363636363636365, 'recall': 0.8888888888888888, 'f1-score': 0.5161290322580644, 'support': 18.0}, 'NonFlaky': {'precision': 0.8823529411764706, 'recall': 0.3488372093023256, 'f1-score': 0.5, 'support': 43.0}, 'accuracy': 0.5081967213114754, 'macro avg': {'precision': 0.6229946524064172, 'recall': 0.6188630490956072, 'f1-score': 0.5080645161290323, 'support': 61.0}, 'weighted avg': {'precision': 0.7292890330498816, 'recall': 0.5081967213114754, 'f1-score': 0.5047593865679535, 'support': 61.0}}</t>
  </si>
  <si>
    <t>[[16  2]
 [28 15]]</t>
  </si>
  <si>
    <t>{'Flaky': {'precision': 0.14285714285714285, 'recall': 0.05555555555555555, 'f1-score': 0.08, 'support': 18.0}, 'NonFlaky': {'precision': 0.6851851851851852, 'recall': 0.8604651162790697, 'f1-score': 0.7628865979381443, 'support': 43.0}, 'accuracy': 0.6229508196721312, 'macro avg': {'precision': 0.41402116402116407, 'recall': 0.45801033591731266, 'f1-score': 0.4214432989690721, 'support': 61.0}, 'weighted avg': {'precision': 0.5251539595801892, 'recall': 0.6229508196721312, 'f1-score': 0.5613790772350853, 'support': 61.0}}</t>
  </si>
  <si>
    <t>[[ 1 17]
 [ 6 37]]</t>
  </si>
  <si>
    <t>{'Flaky': {'precision': 0.375, 'recall': 0.16666666666666666, 'f1-score': 0.23076923076923078, 'support': 18.0}, 'NonFlaky': {'precision': 0.7169811320754716, 'recall': 0.8837209302325582, 'f1-score': 0.7916666666666666, 'support': 43.0}, 'accuracy': 0.6721311475409836, 'macro avg': {'precision': 0.5459905660377358, 'recall': 0.5251937984496124, 'f1-score': 0.5112179487179487, 'support': 61.0}, 'weighted avg': {'precision': 0.6160686668728734, 'recall': 0.6721311475409836, 'f1-score': 0.6261559478772593, 'support': 61.0}}</t>
  </si>
  <si>
    <t>[[ 3 15]
 [ 5 38]]</t>
  </si>
  <si>
    <t>{'Flaky': {'precision': 0.2727272727272727, 'recall': 0.16666666666666666, 'f1-score': 0.20689655172413793, 'support': 18.0}, 'NonFlaky': {'precision': 0.7, 'recall': 0.813953488372093, 'f1-score': 0.7526881720430109, 'support': 43.0}, 'accuracy': 0.6229508196721312, 'macro avg': {'precision': 0.48636363636363633, 'recall': 0.4903100775193798, 'f1-score': 0.4797923618835744, 'support': 61.0}, 'weighted avg': {'precision': 0.573919523099851, 'recall': 0.6229508196721312, 'f1-score': 0.5916349070308844, 'support': 61.0}}</t>
  </si>
  <si>
    <t>[[ 3 15]
 [ 8 35]]</t>
  </si>
  <si>
    <t>{'Flaky': {'precision': 0.28, 'recall': 0.3888888888888889, 'f1-score': 0.32558139534883723, 'support': 18.0}, 'NonFlaky': {'precision': 0.6944444444444444, 'recall': 0.5813953488372093, 'f1-score': 0.6329113924050633, 'support': 43.0}, 'accuracy': 0.5245901639344263, 'macro avg': {'precision': 0.4872222222222222, 'recall': 0.48514211886304914, 'f1-score': 0.4792463938769503, 'support': 61.0}, 'weighted avg': {'precision': 0.5721493624772314, 'recall': 0.5245901639344263, 'f1-score': 0.5422238522901114, 'support': 61.0}}</t>
  </si>
  <si>
    <t>[[ 7 11]
 [18 25]]</t>
  </si>
  <si>
    <t>{'Flaky': {'precision': 0.30952380952380953, 'recall': 0.7222222222222222, 'f1-score': 0.4333333333333334, 'support': 18.0}, 'NonFlaky': {'precision': 0.7368421052631579, 'recall': 0.32558139534883723, 'f1-score': 0.45161290322580644, 'support': 43.0}, 'accuracy': 0.4426229508196721, 'macro avg': {'precision': 0.5231829573934836, 'recall': 0.5239018087855297, 'f1-score': 0.4424731182795699, 'support': 61.0}, 'weighted avg': {'precision': 0.6107481819302354, 'recall': 0.4426229508196721, 'f1-score': 0.44621893178212585, 'support': 61.0}}</t>
  </si>
  <si>
    <t>[[13  5]
 [29 14]]</t>
  </si>
  <si>
    <t>{'Flaky': {'precision': 0.0, 'recall': 0.0, 'f1-score': 0.0, 'support': 18.0}, 'NonFlaky': {'precision': 0.6949152542372882, 'recall': 0.9534883720930233, 'f1-score': 0.803921568627451, 'support': 43.0}, 'accuracy': 0.6721311475409836, 'macro avg': {'precision': 0.3474576271186441, 'recall': 0.47674418604651164, 'f1-score': 0.4019607843137255, 'support': 61.0}, 'weighted avg': {'precision': 0.4898582939705474, 'recall': 0.6721311475409836, 'f1-score': 0.5666988106718097, 'support': 61.0}}</t>
  </si>
  <si>
    <t>[[ 0 18]
 [ 2 41]]</t>
  </si>
  <si>
    <t>java-js</t>
  </si>
  <si>
    <t>{'Flaky': {'precision': 0.3090909090909091, 'recall': 0.85, 'f1-score': 0.45333333333333325, 'support': 20.0}, 'NonFlaky': {'precision': 0.9142857142857143, 'recall': 0.45714285714285713, 'f1-score': 0.6095238095238095, 'support': 70.0}, 'accuracy': 0.5444444444444444, 'macro avg': {'precision': 0.6116883116883116, 'recall': 0.6535714285714286, 'f1-score': 0.5314285714285714, 'support': 90.0}, 'weighted avg': {'precision': 0.7797979797979798, 'recall': 0.5444444444444444, 'f1-score': 0.5748148148148148, 'support': 90.0}}</t>
  </si>
  <si>
    <t>[[17  3]
 [38 32]]</t>
  </si>
  <si>
    <t>{'Flaky': {'precision': 0.12, 'recall': 0.15, 'f1-score': 0.1333333333333333, 'support': 20.0}, 'NonFlaky': {'precision': 0.7384615384615385, 'recall': 0.6857142857142857, 'f1-score': 0.7111111111111111, 'support': 70.0}, 'accuracy': 0.5666666666666667, 'macro avg': {'precision': 0.42923076923076925, 'recall': 0.41785714285714287, 'f1-score': 0.4222222222222222, 'support': 90.0}, 'weighted avg': {'precision': 0.601025641025641, 'recall': 0.5666666666666667, 'f1-score': 0.582716049382716, 'support': 90.0}}</t>
  </si>
  <si>
    <t>[[ 3 17]
 [22 48]]</t>
  </si>
  <si>
    <t>{'Flaky': {'precision': 0.15625, 'recall': 0.25, 'f1-score': 0.19230769230769232, 'support': 20.0}, 'NonFlaky': {'precision': 0.7413793103448276, 'recall': 0.6142857142857143, 'f1-score': 0.671875, 'support': 70.0}, 'accuracy': 0.5333333333333333, 'macro avg': {'precision': 0.4488146551724138, 'recall': 0.43214285714285716, 'f1-score': 0.43209134615384615, 'support': 90.0}, 'weighted avg': {'precision': 0.6113505747126438, 'recall': 0.5333333333333333, 'f1-score': 0.5653044871794872, 'support': 90.0}}</t>
  </si>
  <si>
    <t>[[ 5 15]
 [27 43]]</t>
  </si>
  <si>
    <t>{'Flaky': {'precision': 0.16666666666666666, 'recall': 0.2, 'f1-score': 0.1818181818181818, 'support': 20.0}, 'NonFlaky': {'precision': 0.7575757575757576, 'recall': 0.7142857142857143, 'f1-score': 0.7352941176470589, 'support': 70.0}, 'accuracy': 0.6, 'macro avg': {'precision': 0.4621212121212121, 'recall': 0.4571428571428572, 'f1-score': 0.4585561497326203, 'support': 90.0}, 'weighted avg': {'precision': 0.6262626262626263, 'recall': 0.6, 'f1-score': 0.6122994652406417, 'support': 90.0}}</t>
  </si>
  <si>
    <t>[[ 4 16]
 [20 50]]</t>
  </si>
  <si>
    <t>{'Flaky': {'precision': 0.20454545454545456, 'recall': 0.45, 'f1-score': 0.28125000000000006, 'support': 20.0}, 'NonFlaky': {'precision': 0.7608695652173914, 'recall': 0.5, 'f1-score': 0.603448275862069, 'support': 70.0}, 'accuracy': 0.4888888888888889, 'macro avg': {'precision': 0.48270750988142297, 'recall': 0.475, 'f1-score': 0.4423491379310345, 'support': 90.0}, 'weighted avg': {'precision': 0.6372419850680722, 'recall': 0.4888888888888889, 'f1-score': 0.5318486590038314, 'support': 90.0}}</t>
  </si>
  <si>
    <t>[[ 9 11]
 [35 35]]</t>
  </si>
  <si>
    <t>{'Flaky': {'precision': 0.22, 'recall': 0.55, 'f1-score': 0.3142857142857143, 'support': 20.0}, 'NonFlaky': {'precision': 0.775, 'recall': 0.44285714285714284, 'f1-score': 0.5636363636363636, 'support': 70.0}, 'accuracy': 0.4666666666666667, 'macro avg': {'precision': 0.4975, 'recall': 0.49642857142857144, 'f1-score': 0.43896103896103894, 'support': 90.0}, 'weighted avg': {'precision': 0.6516666666666666, 'recall': 0.4666666666666667, 'f1-score': 0.5082251082251082, 'support': 90.0}}</t>
  </si>
  <si>
    <t>[[11  9]
 [39 31]]</t>
  </si>
  <si>
    <t>{'Flaky': {'precision': 0.21428571428571427, 'recall': 0.15, 'f1-score': 0.1764705882352941, 'support': 20.0}, 'NonFlaky': {'precision': 0.7763157894736842, 'recall': 0.8428571428571429, 'f1-score': 0.8082191780821917, 'support': 70.0}, 'accuracy': 0.6888888888888889, 'macro avg': {'precision': 0.49530075187969924, 'recall': 0.49642857142857144, 'f1-score': 0.4923448831587429, 'support': 90.0}, 'weighted avg': {'precision': 0.6514202172096908, 'recall': 0.6888888888888889, 'f1-score': 0.6678306025606588, 'support': 90.0}}</t>
  </si>
  <si>
    <t>[[ 3 17]
 [11 59]]</t>
  </si>
  <si>
    <t>{'Flaky': {'precision': 0.125, 'recall': 0.05, 'f1-score': 0.07142857142857144, 'support': 20.0}, 'NonFlaky': {'precision': 0.7682926829268293, 'recall': 0.9, 'f1-score': 0.8289473684210527, 'support': 70.0}, 'accuracy': 0.7111111111111111, 'macro avg': {'precision': 0.44664634146341464, 'recall': 0.47500000000000003, 'f1-score': 0.450187969924812, 'support': 90.0}, 'weighted avg': {'precision': 0.6253387533875339, 'recall': 0.7111111111111111, 'f1-score': 0.6606098579782791, 'support': 90.0}}</t>
  </si>
  <si>
    <t>[[ 1 19]
 [ 7 63]]</t>
  </si>
  <si>
    <t>java-go</t>
  </si>
  <si>
    <t>{'Flaky': {'precision': 0.21739130434782608, 'recall': 0.75, 'f1-score': 0.33707865168539325, 'support': 20.0}, 'NonFlaky': {'precision': 0.4444444444444444, 'recall': 0.06896551724137931, 'f1-score': 0.11940298507462686, 'support': 58.0}, 'accuracy': 0.24358974358974358, 'macro avg': {'precision': 0.33091787439613524, 'recall': 0.40948275862068967, 'f1-score': 0.22824081838001006, 'support': 78.0}, 'weighted avg': {'precision': 0.3862256905735166, 'recall': 0.24358974358974358, 'f1-score': 0.17521725856456696, 'support': 78.0}}</t>
  </si>
  <si>
    <t>[[15  5]
 [54  4]]</t>
  </si>
  <si>
    <t>{'Flaky': {'precision': 0.4782608695652174, 'recall': 0.55, 'f1-score': 0.5116279069767442, 'support': 20.0}, 'NonFlaky': {'precision': 0.8363636363636363, 'recall': 0.7931034482758621, 'f1-score': 0.8141592920353982, 'support': 58.0}, 'accuracy': 0.7307692307692307, 'macro avg': {'precision': 0.6573122529644269, 'recall': 0.6715517241379311, 'f1-score': 0.6628935995060712, 'support': 78.0}, 'weighted avg': {'precision': 0.7445424141076316, 'recall': 0.7307692307692307, 'f1-score': 0.7365871420203587, 'support': 78.0}}</t>
  </si>
  <si>
    <t>[[11  9]
 [12 46]]</t>
  </si>
  <si>
    <t>{'Flaky': {'precision': 0.5625, 'recall': 0.9, 'f1-score': 0.6923076923076923, 'support': 20.0}, 'NonFlaky': {'precision': 0.9565217391304348, 'recall': 0.7586206896551724, 'f1-score': 0.8461538461538461, 'support': 58.0}, 'accuracy': 0.7948717948717948, 'macro avg': {'precision': 0.7595108695652174, 'recall': 0.8293103448275863, 'f1-score': 0.7692307692307692, 'support': 78.0}, 'weighted avg': {'precision': 0.8554905239687849, 'recall': 0.7948717948717948, 'f1-score': 0.8067061143984221, 'support': 78.0}}</t>
  </si>
  <si>
    <t>[[18  2]
 [14 44]]</t>
  </si>
  <si>
    <t>{'Flaky': {'precision': 0.42857142857142855, 'recall': 0.3, 'f1-score': 0.3529411764705882, 'support': 20.0}, 'NonFlaky': {'precision': 0.78125, 'recall': 0.8620689655172413, 'f1-score': 0.8196721311475409, 'support': 58.0}, 'accuracy': 0.717948717948718, 'macro avg': {'precision': 0.6049107142857143, 'recall': 0.5810344827586207, 'f1-score': 0.5863066538090645, 'support': 78.0}, 'weighted avg': {'precision': 0.6908195970695971, 'recall': 0.717948717948718, 'f1-score': 0.6999975273842196, 'support': 78.0}}</t>
  </si>
  <si>
    <t>[[ 6 14]
 [ 8 50]]</t>
  </si>
  <si>
    <t>{'Flaky': {'precision': 0.425, 'recall': 0.85, 'f1-score': 0.5666666666666667, 'support': 20.0}, 'NonFlaky': {'precision': 0.9210526315789473, 'recall': 0.603448275862069, 'f1-score': 0.7291666666666666, 'support': 58.0}, 'accuracy': 0.6666666666666666, 'macro avg': {'precision': 0.6730263157894737, 'recall': 0.7267241379310345, 'f1-score': 0.6479166666666667, 'support': 78.0}, 'weighted avg': {'precision': 0.793859649122807, 'recall': 0.6666666666666666, 'f1-score': 0.6875, 'support': 78.0}}</t>
  </si>
  <si>
    <t>[[17  3]
 [23 35]]</t>
  </si>
  <si>
    <t>{'Flaky': {'precision': 0.358974358974359, 'recall': 0.7, 'f1-score': 0.4745762711864407, 'support': 20.0}, 'NonFlaky': {'precision': 0.8461538461538461, 'recall': 0.5689655172413793, 'f1-score': 0.6804123711340206, 'support': 58.0}, 'accuracy': 0.6025641025641025, 'macro avg': {'precision': 0.6025641025641025, 'recall': 0.6344827586206896, 'f1-score': 0.5774943211602307, 'support': 78.0}, 'weighted avg': {'precision': 0.7212360289283366, 'recall': 0.6025641025641025, 'f1-score': 0.6276338839679746, 'support': 78.0}}</t>
  </si>
  <si>
    <t>[[14  6]
 [25 33]]</t>
  </si>
  <si>
    <t>{'Flaky': {'precision': 1.0, 'recall': 0.05, 'f1-score': 0.09523809523809523, 'support': 20.0}, 'NonFlaky': {'precision': 0.7532467532467533, 'recall': 1.0, 'f1-score': 0.8592592592592593, 'support': 58.0}, 'accuracy': 0.7564102564102564, 'macro avg': {'precision': 0.8766233766233766, 'recall': 0.525, 'f1-score': 0.47724867724867726, 'support': 78.0}, 'weighted avg': {'precision': 0.8165168165168166, 'recall': 0.7564102564102564, 'f1-score': 0.66335639668973, 'support': 78.0}}</t>
  </si>
  <si>
    <t>[[ 1 19]
 [ 0 58]]</t>
  </si>
  <si>
    <t>{'Flaky': {'precision': 0.8, 'recall': 0.2, 'f1-score': 0.32000000000000006, 'support': 20.0}, 'NonFlaky': {'precision': 0.7808219178082192, 'recall': 0.9827586206896551, 'f1-score': 0.8702290076335878, 'support': 58.0}, 'accuracy': 0.782051282051282, 'macro avg': {'precision': 0.7904109589041096, 'recall': 0.5913793103448276, 'f1-score': 0.595114503816794, 'support': 78.0}, 'weighted avg': {'precision': 0.7857393747804706, 'recall': 0.782051282051282, 'f1-score': 0.7291446467018986, 'support': 78.0}}</t>
  </si>
  <si>
    <t>[[ 4 16]
 [ 1 57]]</t>
  </si>
  <si>
    <t>java-cpp</t>
  </si>
  <si>
    <t>{'Flaky': {'precision': 0.6101694915254238, 'recall': 0.3185840707964602, 'f1-score': 0.4186046511627907, 'support': 113.0}, 'NonFlaky': {'precision': 0.4900662251655629, 'recall': 0.7628865979381443, 'f1-score': 0.596774193548387, 'support': 97.0}, 'accuracy': 0.5238095238095238, 'macro avg': {'precision': 0.5501178583454933, 'recall': 0.5407353343673023, 'f1-score': 0.5076894223555889, 'support': 210.0}, 'weighted avg': {'precision': 0.554693220873488, 'recall': 0.5238095238095238, 'f1-score': 0.50090201121709, 'support': 210.0}}</t>
  </si>
  <si>
    <t>[[36 77]
 [23 74]]</t>
  </si>
  <si>
    <t>{'Flaky': {'precision': 0.6410256410256411, 'recall': 0.22123893805309736, 'f1-score': 0.32894736842105265, 'support': 113.0}, 'NonFlaky': {'precision': 0.4853801169590643, 'recall': 0.8556701030927835, 'f1-score': 0.6194029850746269, 'support': 97.0}, 'accuracy': 0.5142857142857142, 'macro avg': {'precision': 0.5632028789923527, 'recall': 0.5384545205729404, 'f1-score': 0.47417517674783977, 'support': 210.0}, 'weighted avg': {'precision': 0.569132232290127, 'recall': 0.5142857142857142, 'f1-score': 0.4631102008753227, 'support': 210.0}}</t>
  </si>
  <si>
    <t>[[25 88]
 [14 83]]</t>
  </si>
  <si>
    <t>{'Flaky': {'precision': 0.6880733944954128, 'recall': 0.6637168141592921, 'f1-score': 0.6756756756756757, 'support': 113.0}, 'NonFlaky': {'precision': 0.6237623762376238, 'recall': 0.6494845360824743, 'f1-score': 0.6363636363636364, 'support': 97.0}, 'accuracy': 0.6571428571428571, 'macro avg': {'precision': 0.6559178853665183, 'recall': 0.6566006751208832, 'f1-score': 0.6560196560196561, 'support': 210.0}, 'weighted avg': {'precision': 0.658367828919196, 'recall': 0.6571428571428571, 'f1-score': 0.6575172575172575, 'support': 210.0}}</t>
  </si>
  <si>
    <t>[[75 38]
 [34 63]]</t>
  </si>
  <si>
    <t>{'Flaky': {'precision': 0.6564885496183206, 'recall': 0.7610619469026548, 'f1-score': 0.7049180327868853, 'support': 113.0}, 'NonFlaky': {'precision': 0.6582278481012658, 'recall': 0.5360824742268041, 'f1-score': 0.5909090909090909, 'support': 97.0}, 'accuracy': 0.6571428571428571, 'macro avg': {'precision': 0.6573581988597932, 'recall': 0.6485722105647295, 'f1-score': 0.6479135618479881, 'support': 210.0}, 'weighted avg': {'precision': 0.6572919398699666, 'recall': 0.6571428571428571, 'f1-score': 0.6522567596338088, 'support': 210.0}}</t>
  </si>
  <si>
    <t>[[86 27]
 [45 52]]</t>
  </si>
  <si>
    <t>{'Flaky': {'precision': 0.6343283582089553, 'recall': 0.7522123893805309, 'f1-score': 0.6882591093117408, 'support': 113.0}, 'NonFlaky': {'precision': 0.631578947368421, 'recall': 0.4948453608247423, 'f1-score': 0.5549132947976879, 'support': 97.0}, 'accuracy': 0.6333333333333333, 'macro avg': {'precision': 0.6329536527886881, 'recall': 0.6235288751026367, 'f1-score': 0.6215862020547144, 'support': 210.0}, 'weighted avg': {'precision': 0.6330583922492798, 'recall': 0.6333333333333333, 'f1-score': 0.6266660426076306, 'support': 210.0}}</t>
  </si>
  <si>
    <t>[[85 28]
 [49 48]]</t>
  </si>
  <si>
    <t>{'Flaky': {'precision': 0.5307692307692308, 'recall': 0.6106194690265486, 'f1-score': 0.5679012345679012, 'support': 113.0}, 'NonFlaky': {'precision': 0.45, 'recall': 0.3711340206185567, 'f1-score': 0.40677966101694923, 'support': 97.0}, 'accuracy': 0.5, 'macro avg': {'precision': 0.4903846153846154, 'recall': 0.49087674482255267, 'f1-score': 0.48734044779242525, 'support': 210.0}, 'weighted avg': {'precision': 0.49346153846153845, 'recall': 0.5, 'f1-score': 0.4934784124991281, 'support': 210.0}}</t>
  </si>
  <si>
    <t>[[69 44]
 [61 36]]</t>
  </si>
  <si>
    <t>{'Flaky': {'precision': 0.2916666666666667, 'recall': 0.12389380530973451, 'f1-score': 0.17391304347826086, 'support': 113.0}, 'NonFlaky': {'precision': 0.3888888888888889, 'recall': 0.6494845360824743, 'f1-score': 0.4864864864864864, 'support': 97.0}, 'accuracy': 0.36666666666666664, 'macro avg': {'precision': 0.3402777777777778, 'recall': 0.38668917069610437, 'f1-score': 0.33019976498237363, 'support': 210.0}, 'weighted avg': {'precision': 0.3365740740740741, 'recall': 0.36666666666666664, 'f1-score': 0.318292205248727, 'support': 210.0}}</t>
  </si>
  <si>
    <t>[[14 99]
 [34 63]]</t>
  </si>
  <si>
    <t>{'Flaky': {'precision': 0.20833333333333334, 'recall': 0.04424778761061947, 'f1-score': 0.072992700729927, 'support': 113.0}, 'NonFlaky': {'precision': 0.41935483870967744, 'recall': 0.8041237113402062, 'f1-score': 0.5512367491166078, 'support': 97.0}, 'accuracy': 0.3952380952380952, 'macro avg': {'precision': 0.3138440860215054, 'recall': 0.4241857494754128, 'f1-score': 0.3121147249232674, 'support': 210.0}, 'weighted avg': {'precision': 0.30580517153097797, 'recall': 0.3952380952380952, 'f1-score': 0.2938959040323462, 'support': 210.0}}</t>
  </si>
  <si>
    <t>[[  5 108]
 [ 19  78]]</t>
  </si>
  <si>
    <t>Java-python</t>
  </si>
  <si>
    <t>train-test</t>
  </si>
  <si>
    <t>Language</t>
  </si>
  <si>
    <t>confusionMatrix (TP FN FP TN)</t>
  </si>
  <si>
    <t>Java&amp;py&amp;cpp</t>
  </si>
  <si>
    <t>{'Flaky': {'precision': 0.5, 'recall': 0.2, 'f1-score': 0.28571428571428575, 'support': 10.0}, 'NonFlaky': {'precision': 0.6521739130434783, 'recall': 0.8823529411764706, 'f1-score': 0.75, 'support': 17.0}, 'accuracy': 0.6296296296296297, 'macro avg': {'precision': 0.5760869565217391, 'recall': 0.5411764705882353, 'f1-score': 0.5178571428571429, 'support': 27.0}, 'weighted avg': {'precision': 0.5958132045088568, 'recall': 0.6296296296296297, 'f1-score': 0.578042328042328, 'support': 27.0}}</t>
  </si>
  <si>
    <t>[[ 2  8]
 [ 2 15]]</t>
  </si>
  <si>
    <t>{'Flaky': {'precision': 0.37037037037037035, 'recall': 1.0, 'f1-score': 0.5405405405405406, 'support': 10.0}, 'NonFlaky': {'precision': 0.0, 'recall': 0.0, 'f1-score': 0.0, 'support': 17.0}, 'accuracy': 0.37037037037037035, 'macro avg': {'precision': 0.18518518518518517, 'recall': 0.5, 'f1-score': 0.2702702702702703, 'support': 27.0}, 'weighted avg': {'precision': 0.1371742112482853, 'recall': 0.37037037037037035, 'f1-score': 0.20020020020020018, 'support': 27.0}}</t>
  </si>
  <si>
    <t>[[10  0]
 [17  0]]</t>
  </si>
  <si>
    <t>{'Flaky': {'precision': 0.0, 'recall': 0.0, 'f1-score': 0.0, 'support': 10.0}, 'NonFlaky': {'precision': 0.6296296296296297, 'recall': 1.0, 'f1-score': 0.7727272727272727, 'support': 17.0}, 'accuracy': 0.6296296296296297, 'macro avg': {'precision': 0.3148148148148148, 'recall': 0.5, 'f1-score': 0.38636363636363635, 'support': 27.0}, 'weighted avg': {'precision': 0.39643347050754457, 'recall': 0.6296296296296297, 'f1-score': 0.48653198653198654, 'support': 27.0}}</t>
  </si>
  <si>
    <t>[[ 0 10]
 [ 0 17]]</t>
  </si>
  <si>
    <t>{'Flaky': {'precision': 0.4, 'recall': 1.0, 'f1-score': 0.5714285714285715, 'support': 10.0}, 'NonFlaky': {'precision': 1.0, 'recall': 0.11764705882352941, 'f1-score': 0.21052631578947367, 'support': 17.0}, 'accuracy': 0.4444444444444444, 'macro avg': {'precision': 0.7, 'recall': 0.5588235294117647, 'f1-score': 0.3909774436090226, 'support': 27.0}, 'weighted avg': {'precision': 0.7777777777777778, 'recall': 0.4444444444444444, 'f1-score': 0.3441938178780284, 'support': 27.0}}</t>
  </si>
  <si>
    <t>[[10  0]
 [15  2]]</t>
  </si>
  <si>
    <t>{'Flaky': {'precision': 0.34615384615384615, 'recall': 0.9, 'f1-score': 0.5, 'support': 10.0}, 'NonFlaky': {'precision': 0.0, 'recall': 0.0, 'f1-score': 0.0, 'support': 17.0}, 'accuracy': 0.3333333333333333, 'macro avg': {'precision': 0.17307692307692307, 'recall': 0.45, 'f1-score': 0.25, 'support': 27.0}, 'weighted avg': {'precision': 0.12820512820512822, 'recall': 0.3333333333333333, 'f1-score': 0.18518518518518517, 'support': 27.0}}</t>
  </si>
  <si>
    <t>[[ 9  1]
 [17  0]]</t>
  </si>
  <si>
    <t>{'Flaky': {'precision': 0.4444444444444444, 'recall': 0.9230769230769231, 'f1-score': 0.6, 'support': 13.0}, 'NonFlaky': {'precision': 0.9166666666666666, 'recall': 0.4230769230769231, 'f1-score': 0.5789473684210527, 'support': 26.0}, 'accuracy': 0.5897435897435898, 'macro avg': {'precision': 0.6805555555555556, 'recall': 0.6730769230769231, 'f1-score': 0.5894736842105264, 'support': 39.0}, 'weighted avg': {'precision': 0.7592592592592593, 'recall': 0.5897435897435898, 'f1-score': 0.5859649122807018, 'support': 39.0}}</t>
  </si>
  <si>
    <t>[[12  1]
 [15 11]]</t>
  </si>
  <si>
    <t>{'Flaky': {'precision': 0.5, 'recall': 0.5384615384615384, 'f1-score': 0.5185185185185186, 'support': 13.0}, 'NonFlaky': {'precision': 0.76, 'recall': 0.7307692307692307, 'f1-score': 0.7450980392156863, 'support': 26.0}, 'accuracy': 0.6666666666666666, 'macro avg': {'precision': 0.63, 'recall': 0.6346153846153846, 'f1-score': 0.6318082788671024, 'support': 39.0}, 'weighted avg': {'precision': 0.6733333333333333, 'recall': 0.6666666666666666, 'f1-score': 0.6695715323166304, 'support': 39.0}}</t>
  </si>
  <si>
    <t>[[ 7  6]
 [ 7 19]]</t>
  </si>
  <si>
    <t>{'Flaky': {'precision': 0.3333333333333333, 'recall': 1.0, 'f1-score': 0.5, 'support': 13.0}, 'NonFlaky': {'precision': 0.0, 'recall': 0.0, 'f1-score': 0.0, 'support': 26.0}, 'accuracy': 0.3333333333333333, 'macro avg': {'precision': 0.16666666666666666, 'recall': 0.5, 'f1-score': 0.25, 'support': 39.0}, 'weighted avg': {'precision': 0.1111111111111111, 'recall': 0.3333333333333333, 'f1-score': 0.16666666666666666, 'support': 39.0}}</t>
  </si>
  <si>
    <t>[[13  0]
 [26  0]]</t>
  </si>
  <si>
    <t>{'Flaky': {'precision': 0.5, 'recall': 0.07692307692307693, 'f1-score': 0.13333333333333336, 'support': 13.0}, 'NonFlaky': {'precision': 0.6756756756756757, 'recall': 0.9615384615384616, 'f1-score': 0.7936507936507937, 'support': 26.0}, 'accuracy': 0.6666666666666666, 'macro avg': {'precision': 0.5878378378378378, 'recall': 0.5192307692307693, 'f1-score': 0.4634920634920635, 'support': 39.0}, 'weighted avg': {'precision': 0.6171171171171171, 'recall': 0.6666666666666666, 'f1-score': 0.5735449735449736, 'support': 39.0}}</t>
  </si>
  <si>
    <t>[[ 1 12]
 [ 1 25]]</t>
  </si>
  <si>
    <t>{'Flaky': {'precision': 0.0, 'recall': 0.0, 'f1-score': 0.0, 'support': 13.0}, 'NonFlaky': {'precision': 0.6388888888888888, 'recall': 0.8846153846153846, 'f1-score': 0.7419354838709676, 'support': 26.0}, 'accuracy': 0.5897435897435898, 'macro avg': {'precision': 0.3194444444444444, 'recall': 0.4423076923076923, 'f1-score': 0.3709677419354838, 'support': 39.0}, 'weighted avg': {'precision': 0.42592592592592593, 'recall': 0.5897435897435898, 'f1-score': 0.49462365591397844, 'support': 39.0}}</t>
  </si>
  <si>
    <t>[[ 0 13]
 [ 3 23]]</t>
  </si>
  <si>
    <t>{'Flaky': {'precision': 0.3333333333333333, 'recall': 0.9230769230769231, 'f1-score': 0.489795918367347, 'support': 13.0}, 'NonFlaky': {'precision': 0.6666666666666666, 'recall': 0.07692307692307693, 'f1-score': 0.13793103448275862, 'support': 26.0}, 'accuracy': 0.358974358974359, 'macro avg': {'precision': 0.5, 'recall': 0.5, 'f1-score': 0.3138634764250528, 'support': 39.0}, 'weighted avg': {'precision': 0.5555555555555555, 'recall': 0.358974358974359, 'f1-score': 0.25521932911095474, 'support': 39.0}}</t>
  </si>
  <si>
    <t>[[12  1]
 [24  2]]</t>
  </si>
  <si>
    <t>{'Flaky': {'precision': 1.0, 'recall': 0.15384615384615385, 'f1-score': 0.2666666666666667, 'support': 13.0}, 'NonFlaky': {'precision': 0.7027027027027027, 'recall': 1.0, 'f1-score': 0.8253968253968255, 'support': 26.0}, 'accuracy': 0.717948717948718, 'macro avg': {'precision': 0.8513513513513513, 'recall': 0.5769230769230769, 'f1-score': 0.5460317460317461, 'support': 39.0}, 'weighted avg': {'precision': 0.8018018018018018, 'recall': 0.717948717948718, 'f1-score': 0.6391534391534393, 'support': 39.0}}</t>
  </si>
  <si>
    <t>[[ 2 11]
 [ 0 26]]</t>
  </si>
  <si>
    <t>{'Flaky': {'precision': 0.0, 'recall': 0.0, 'f1-score': 0.0, 'support': 13.0}, 'NonFlaky': {'precision': 0.6486486486486487, 'recall': 0.9230769230769231, 'f1-score': 0.7619047619047619, 'support': 26.0}, 'accuracy': 0.6153846153846154, 'macro avg': {'precision': 0.32432432432432434, 'recall': 0.46153846153846156, 'f1-score': 0.38095238095238093, 'support': 39.0}, 'weighted avg': {'precision': 0.43243243243243246, 'recall': 0.6153846153846154, 'f1-score': 0.5079365079365079, 'support': 39.0}}</t>
  </si>
  <si>
    <t>[[ 0 13]
 [ 2 24]]</t>
  </si>
  <si>
    <t>{'Flaky': {'precision': 0.32142857142857145, 'recall': 0.9, 'f1-score': 0.4736842105263158, 'support': 10.0}, 'NonFlaky': {'precision': 0.8, 'recall': 0.17391304347826086, 'f1-score': 0.2857142857142857, 'support': 23.0}, 'accuracy': 0.3939393939393939, 'macro avg': {'precision': 0.5607142857142857, 'recall': 0.5369565217391304, 'f1-score': 0.37969924812030076, 'support': 33.0}, 'weighted avg': {'precision': 0.6549783549783551, 'recall': 0.3939393939393939, 'f1-score': 0.3426748689906585, 'support': 33.0}}</t>
  </si>
  <si>
    <t>[[ 9  1]
 [19  4]]</t>
  </si>
  <si>
    <t>{'Flaky': {'precision': 0.0, 'recall': 0.0, 'f1-score': 0.0, 'support': 10.0}, 'NonFlaky': {'precision': 0.6774193548387096, 'recall': 0.9130434782608695, 'f1-score': 0.7777777777777777, 'support': 23.0}, 'accuracy': 0.6363636363636364, 'macro avg': {'precision': 0.3387096774193548, 'recall': 0.45652173913043476, 'f1-score': 0.38888888888888884, 'support': 33.0}, 'weighted avg': {'precision': 0.4721407624633431, 'recall': 0.6363636363636364, 'f1-score': 0.542087542087542, 'support': 33.0}}</t>
  </si>
  <si>
    <t>[[ 0 10]
 [ 2 21]]</t>
  </si>
  <si>
    <t>{'Flaky': {'precision': 0.0, 'recall': 0.0, 'f1-score': 0.0, 'support': 10.0}, 'NonFlaky': {'precision': 0.696969696969697, 'recall': 1.0, 'f1-score': 0.8214285714285715, 'support': 23.0}, 'accuracy': 0.696969696969697, 'macro avg': {'precision': 0.3484848484848485, 'recall': 0.5, 'f1-score': 0.41071428571428575, 'support': 33.0}, 'weighted avg': {'precision': 0.4857667584940312, 'recall': 0.696969696969697, 'f1-score': 0.5725108225108226, 'support': 33.0}}</t>
  </si>
  <si>
    <t>[[ 0 10]
 [ 0 23]]</t>
  </si>
  <si>
    <t>{'Flaky': {'precision': 0.3888888888888889, 'recall': 0.7, 'f1-score': 0.5, 'support': 10.0}, 'NonFlaky': {'precision': 0.8, 'recall': 0.5217391304347826, 'f1-score': 0.6315789473684211, 'support': 23.0}, 'accuracy': 0.5757575757575758, 'macro avg': {'precision': 0.5944444444444444, 'recall': 0.6108695652173912, 'f1-score': 0.5657894736842106, 'support': 33.0}, 'weighted avg': {'precision': 0.6754208754208755, 'recall': 0.5757575757575758, 'f1-score': 0.5917065390749602, 'support': 33.0}}</t>
  </si>
  <si>
    <t>[[ 7  3]
 [11 12]]</t>
  </si>
  <si>
    <t>{'Flaky': {'precision': 0.4, 'recall': 1.0, 'f1-score': 0.5714285714285715, 'support': 10.0}, 'NonFlaky': {'precision': 1.0, 'recall': 0.25, 'f1-score': 0.4, 'support': 20.0}, 'accuracy': 0.5, 'macro avg': {'precision': 0.7, 'recall': 0.625, 'f1-score': 0.48571428571428577, 'support': 30.0}, 'weighted avg': {'precision': 0.8, 'recall': 0.5, 'f1-score': 0.4571428571428572, 'support': 30.0}}</t>
  </si>
  <si>
    <t>[[10  0]
 [15  5]]</t>
  </si>
  <si>
    <t>{'Flaky': {'precision': 0.35, 'recall': 0.7, 'f1-score': 0.4666666666666667, 'support': 10.0}, 'NonFlaky': {'precision': 0.7, 'recall': 0.35, 'f1-score': 0.4666666666666667, 'support': 20.0}, 'accuracy': 0.4666666666666667, 'macro avg': {'precision': 0.5249999999999999, 'recall': 0.5249999999999999, 'f1-score': 0.4666666666666667, 'support': 30.0}, 'weighted avg': {'precision': 0.5833333333333334, 'recall': 0.4666666666666667, 'f1-score': 0.4666666666666667, 'support': 30.0}}</t>
  </si>
  <si>
    <t>[[ 7  3]
 [13  7]]</t>
  </si>
  <si>
    <t>{'Flaky': {'precision': 0.3333333333333333, 'recall': 0.9, 'f1-score': 0.48648648648648646, 'support': 10.0}, 'NonFlaky': {'precision': 0.6666666666666666, 'recall': 0.1, 'f1-score': 0.1739130434782609, 'support': 20.0}, 'accuracy': 0.36666666666666664, 'macro avg': {'precision': 0.5, 'recall': 0.5, 'f1-score': 0.3301997649823737, 'support': 30.0}, 'weighted avg': {'precision': 0.5555555555555555, 'recall': 0.36666666666666664, 'f1-score': 0.2781041911476694, 'support': 30.0}}</t>
  </si>
  <si>
    <t>[[ 9  1]
 [18  2]]</t>
  </si>
  <si>
    <t>{'Flaky': {'precision': 0.3103448275862069, 'recall': 0.9, 'f1-score': 0.4615384615384615, 'support': 10.0}, 'NonFlaky': {'precision': 0.0, 'recall': 0.0, 'f1-score': 0.0, 'support': 20.0}, 'accuracy': 0.3, 'macro avg': {'precision': 0.15517241379310345, 'recall': 0.45, 'f1-score': 0.23076923076923075, 'support': 30.0}, 'weighted avg': {'precision': 0.10344827586206896, 'recall': 0.3, 'f1-score': 0.15384615384615383, 'support': 30.0}}</t>
  </si>
  <si>
    <t>[[ 9  1]
 [20  0]]</t>
  </si>
  <si>
    <t>{'Flaky': {'precision': 0.5135135135135135, 'recall': 0.926829268292683, 'f1-score': 0.6608695652173913, 'support': 41.0}, 'NonFlaky': {'precision': 0.8125, 'recall': 0.2653061224489796, 'f1-score': 0.39999999999999997, 'support': 49.0}, 'accuracy': 0.5666666666666667, 'macro avg': {'precision': 0.6630067567567568, 'recall': 0.5960676953708313, 'f1-score': 0.5304347826086956, 'support': 90.0}, 'weighted avg': {'precision': 0.676295045045045, 'recall': 0.5666666666666667, 'f1-score': 0.5188405797101449, 'support': 90.0}}</t>
  </si>
  <si>
    <t>[[38  3]
 [36 13]]</t>
  </si>
  <si>
    <t>{'Flaky': {'precision': 0.45977011494252873, 'recall': 0.975609756097561, 'f1-score': 0.625, 'support': 41.0}, 'NonFlaky': {'precision': 0.6666666666666666, 'recall': 0.04081632653061224, 'f1-score': 0.07692307692307691, 'support': 49.0}, 'accuracy': 0.4666666666666667, 'macro avg': {'precision': 0.5632183908045977, 'recall': 0.5082130413140866, 'f1-score': 0.35096153846153844, 'support': 90.0}, 'weighted avg': {'precision': 0.5724137931034482, 'recall': 0.4666666666666667, 'f1-score': 0.3266025641025641, 'support': 90.0}}</t>
  </si>
  <si>
    <t>[[40  1]
 [47  2]]</t>
  </si>
  <si>
    <t>{'Flaky': {'precision': 0.45454545454545453, 'recall': 0.6097560975609756, 'f1-score': 0.5208333333333334, 'support': 41.0}, 'NonFlaky': {'precision': 0.5428571428571428, 'recall': 0.3877551020408163, 'f1-score': 0.4523809523809524, 'support': 49.0}, 'accuracy': 0.4888888888888889, 'macro avg': {'precision': 0.49870129870129865, 'recall': 0.49875559980089595, 'f1-score': 0.4866071428571429, 'support': 90.0}, 'weighted avg': {'precision': 0.5026262626262626, 'recall': 0.4888888888888889, 'f1-score': 0.48356481481481484, 'support': 90.0}}</t>
  </si>
  <si>
    <t>[[25 16]
 [30 19]]</t>
  </si>
  <si>
    <t>{'Flaky': {'precision': 0.44871794871794873, 'recall': 0.8536585365853658, 'f1-score': 0.5882352941176471, 'support': 41.0}, 'NonFlaky': {'precision': 0.5, 'recall': 0.12244897959183673, 'f1-score': 0.19672131147540983, 'support': 49.0}, 'accuracy': 0.45555555555555555, 'macro avg': {'precision': 0.47435897435897434, 'recall': 0.4880537580886013, 'f1-score': 0.39247830279652846, 'support': 90.0}, 'weighted avg': {'precision': 0.47663817663817665, 'recall': 0.45555555555555555, 'f1-score': 0.37507768134576236, 'support': 90.0}}</t>
  </si>
  <si>
    <t>[[35  6]
 [43  6]]</t>
  </si>
  <si>
    <t>{'Flaky': {'precision': 0.45454545454545453, 'recall': 0.975609756097561, 'f1-score': 0.6201550387596899, 'support': 41.0}, 'NonFlaky': {'precision': 0.5, 'recall': 0.02040816326530612, 'f1-score': 0.039215686274509796, 'support': 49.0}, 'accuracy': 0.45555555555555555, 'macro avg': {'precision': 0.4772727272727273, 'recall': 0.49800895968143355, 'f1-score': 0.32968536251709984, 'support': 90.0}, 'weighted avg': {'precision': 0.4792929292929293, 'recall': 0.45555555555555555, 'f1-score': 0.3038658357399807, 'support': 90.0}}</t>
  </si>
  <si>
    <t>[[40  1]
 [48  1]]</t>
  </si>
  <si>
    <t>{'Flaky': {'precision': 0.22857142857142856, 'recall': 0.4444444444444444, 'f1-score': 0.3018867924528302, 'support': 18.0}, 'NonFlaky': {'precision': 0.6153846153846154, 'recall': 0.37209302325581395, 'f1-score': 0.463768115942029, 'support': 43.0}, 'accuracy': 0.39344262295081966, 'macro avg': {'precision': 0.421978021978022, 'recall': 0.4082687338501292, 'f1-score': 0.3828274541974296, 'support': 61.0}, 'weighted avg': {'precision': 0.5012430192758062, 'recall': 0.39344262295081966, 'f1-score': 0.4159998565517736, 'support': 61.0}}</t>
  </si>
  <si>
    <t>[[ 8 10]
 [27 16]]</t>
  </si>
  <si>
    <t>{'Flaky': {'precision': 0.27586206896551724, 'recall': 0.4444444444444444, 'f1-score': 0.3404255319148936, 'support': 18.0}, 'NonFlaky': {'precision': 0.6875, 'recall': 0.5116279069767442, 'f1-score': 0.5866666666666667, 'support': 43.0}, 'accuracy': 0.4918032786885246, 'macro avg': {'precision': 0.4816810344827586, 'recall': 0.4780361757105943, 'f1-score': 0.46354609929078017, 'support': 61.0}, 'weighted avg': {'precision': 0.5660330695308083, 'recall': 0.4918032786885246, 'f1-score': 0.5140053482153237, 'support': 61.0}}</t>
  </si>
  <si>
    <t>[[ 8 10]
 [21 22]]</t>
  </si>
  <si>
    <t>{'Flaky': {'precision': 0.3181818181818182, 'recall': 0.3888888888888889, 'f1-score': 0.35000000000000003, 'support': 18.0}, 'NonFlaky': {'precision': 0.717948717948718, 'recall': 0.6511627906976745, 'f1-score': 0.6829268292682927, 'support': 43.0}, 'accuracy': 0.5737704918032787, 'macro avg': {'precision': 0.5180652680652681, 'recall': 0.5200258397932817, 'f1-score': 0.5164634146341464, 'support': 61.0}, 'weighted avg': {'precision': 0.5999847147388132, 'recall': 0.5737704918032787, 'f1-score': 0.5846861255497802, 'support': 61.0}}</t>
  </si>
  <si>
    <t>[[ 7 11]
 [15 28]]</t>
  </si>
  <si>
    <t>{'Flaky': {'precision': 0.0, 'recall': 0.0, 'f1-score': 0.0, 'support': 18.0}, 'NonFlaky': {'precision': 0.7049180327868853, 'recall': 1.0, 'f1-score': 0.8269230769230769, 'support': 43.0}, 'accuracy': 0.7049180327868853, 'macro avg': {'precision': 0.3524590163934426, 'recall': 0.5, 'f1-score': 0.41346153846153844, 'support': 61.0}, 'weighted avg': {'precision': 0.4969094329481322, 'recall': 0.7049180327868853, 'f1-score': 0.5829129886506935, 'support': 61.0}}</t>
  </si>
  <si>
    <t>[[ 0 18]
 [ 0 43]]</t>
  </si>
  <si>
    <t>{'Flaky': {'precision': 0.25, 'recall': 0.5, 'f1-score': 0.3333333333333333, 'support': 18.0}, 'NonFlaky': {'precision': 0.64, 'recall': 0.37209302325581395, 'f1-score': 0.4705882352941177, 'support': 43.0}, 'accuracy': 0.4098360655737705, 'macro avg': {'precision': 0.445, 'recall': 0.436046511627907, 'f1-score': 0.4019607843137255, 'support': 61.0}, 'weighted avg': {'precision': 0.5249180327868852, 'recall': 0.4098360655737705, 'f1-score': 0.43008678881388623, 'support': 61.0}}</t>
  </si>
  <si>
    <t>[[ 9  9]
 [27 16]]</t>
  </si>
  <si>
    <t>{'Flaky': {'precision': 0.2682926829268293, 'recall': 0.6111111111111112, 'f1-score': 0.37288135593220345, 'support': 18.0}, 'NonFlaky': {'precision': 0.65, 'recall': 0.3023255813953488, 'f1-score': 0.4126984126984127, 'support': 43.0}, 'accuracy': 0.39344262295081966, 'macro avg': {'precision': 0.45914634146341465, 'recall': 0.45671834625323, 'f1-score': 0.39278988431530804, 'support': 61.0}, 'weighted avg': {'precision': 0.5373650539784086, 'recall': 0.39344262295081966, 'f1-score': 0.40094911725920335, 'support': 61.0}}</t>
  </si>
  <si>
    <t>[[11  7]
 [30 13]]</t>
  </si>
  <si>
    <t>{'Flaky': {'precision': 0.4166666666666667, 'recall': 0.2777777777777778, 'f1-score': 0.33333333333333337, 'support': 18.0}, 'NonFlaky': {'precision': 0.7346938775510204, 'recall': 0.8372093023255814, 'f1-score': 0.782608695652174, 'support': 43.0}, 'accuracy': 0.6721311475409836, 'macro avg': {'precision': 0.5756802721088435, 'recall': 0.5574935400516796, 'f1-score': 0.5579710144927537, 'support': 61.0}, 'weighted avg': {'precision': 0.6408497825359653, 'recall': 0.6721311475409836, 'f1-score': 0.6500356379187455, 'support': 61.0}}</t>
  </si>
  <si>
    <t>[[ 5 13]
 [ 7 36]]</t>
  </si>
  <si>
    <t>{'Flaky': {'precision': 0.34285714285714286, 'recall': 0.6, 'f1-score': 0.43636363636363634, 'support': 20.0}, 'NonFlaky': {'precision': 0.8545454545454545, 'recall': 0.6714285714285714, 'f1-score': 0.752, 'support': 70.0}, 'accuracy': 0.6555555555555556, 'macro avg': {'precision': 0.5987012987012987, 'recall': 0.6357142857142857, 'f1-score': 0.5941818181818181, 'support': 90.0}, 'weighted avg': {'precision': 0.7408369408369408, 'recall': 0.6555555555555554, 'f1-score': 0.6818585858585858, 'support': 90.0}}</t>
  </si>
  <si>
    <t>[[12  8]
 [23 47]]</t>
  </si>
  <si>
    <t>{'Flaky': {'precision': 0.12698412698412698, 'recall': 0.4, 'f1-score': 0.19277108433734938, 'support': 20.0}, 'NonFlaky': {'precision': 0.5555555555555556, 'recall': 0.21428571428571427, 'f1-score': 0.3092783505154639, 'support': 70.0}, 'accuracy': 0.25555555555555554, 'macro avg': {'precision': 0.3412698412698413, 'recall': 0.30714285714285716, 'f1-score': 0.25102471742640664, 'support': 90.0}, 'weighted avg': {'precision': 0.46031746031746035, 'recall': 0.25555555555555554, 'f1-score': 0.2833878469203273, 'support': 90.0}}</t>
  </si>
  <si>
    <t>[[ 8 12]
 [55 15]]</t>
  </si>
  <si>
    <t>{'Flaky': {'precision': 0.25, 'recall': 0.4, 'f1-score': 0.3076923076923077, 'support': 20.0}, 'NonFlaky': {'precision': 0.7931034482758621, 'recall': 0.6571428571428571, 'f1-score': 0.71875, 'support': 70.0}, 'accuracy': 0.6, 'macro avg': {'precision': 0.521551724137931, 'recall': 0.5285714285714286, 'f1-score': 0.5132211538461539, 'support': 90.0}, 'weighted avg': {'precision': 0.6724137931034483, 'recall': 0.6, 'f1-score': 0.6274038461538461, 'support': 90.0}}</t>
  </si>
  <si>
    <t>[[ 8 12]
 [24 46]]</t>
  </si>
  <si>
    <t>{'Flaky': {'precision': 0.0, 'recall': 0.0, 'f1-score': 0.0, 'support': 20.0}, 'NonFlaky': {'precision': 0.7777777777777778, 'recall': 1.0, 'f1-score': 0.8750000000000001, 'support': 70.0}, 'accuracy': 0.7777777777777778, 'macro avg': {'precision': 0.3888888888888889, 'recall': 0.5, 'f1-score': 0.43750000000000006, 'support': 90.0}, 'weighted avg': {'precision': 0.6049382716049383, 'recall': 0.7777777777777778, 'f1-score': 0.6805555555555556, 'support': 90.0}}</t>
  </si>
  <si>
    <t>[[ 0 20]
 [ 0 70]]</t>
  </si>
  <si>
    <t>{'Flaky': {'precision': 0.18571428571428572, 'recall': 0.65, 'f1-score': 0.28888888888888886, 'support': 20.0}, 'NonFlaky': {'precision': 0.65, 'recall': 0.18571428571428572, 'f1-score': 0.28888888888888886, 'support': 70.0}, 'accuracy': 0.28888888888888886, 'macro avg': {'precision': 0.41785714285714287, 'recall': 0.41785714285714287, 'f1-score': 0.28888888888888886, 'support': 90.0}, 'weighted avg': {'precision': 0.5468253968253969, 'recall': 0.28888888888888886, 'f1-score': 0.28888888888888886, 'support': 90.0}}</t>
  </si>
  <si>
    <t>[[13  7]
 [57 13]]</t>
  </si>
  <si>
    <t>{'Flaky': {'precision': 0.23636363636363636, 'recall': 0.65, 'f1-score': 0.3466666666666666, 'support': 20.0}, 'NonFlaky': {'precision': 0.8, 'recall': 0.4, 'f1-score': 0.5333333333333333, 'support': 70.0}, 'accuracy': 0.45555555555555555, 'macro avg': {'precision': 0.5181818181818182, 'recall': 0.525, 'f1-score': 0.43999999999999995, 'support': 90.0}, 'weighted avg': {'precision': 0.6747474747474748, 'recall': 0.45555555555555555, 'f1-score': 0.4918518518518518, 'support': 90.0}}</t>
  </si>
  <si>
    <t>[[13  7]
 [42 28]]</t>
  </si>
  <si>
    <t>{'Flaky': {'precision': 0.5, 'recall': 0.2, 'f1-score': 0.28571428571428575, 'support': 20.0}, 'NonFlaky': {'precision': 0.8048780487804879, 'recall': 0.9428571428571428, 'f1-score': 0.868421052631579, 'support': 70.0}, 'accuracy': 0.7777777777777778, 'macro avg': {'precision': 0.6524390243902439, 'recall': 0.5714285714285714, 'f1-score': 0.5770676691729324, 'support': 90.0}, 'weighted avg': {'precision': 0.7371273712737128, 'recall': 0.7777777777777778, 'f1-score': 0.7389306599832915, 'support': 90.0}}</t>
  </si>
  <si>
    <t>[[ 4 16]
 [ 4 66]]</t>
  </si>
  <si>
    <t>{'Flaky': {'precision': 0.46153846153846156, 'recall': 0.3, 'f1-score': 0.3636363636363637, 'support': 20.0}, 'NonFlaky': {'precision': 0.8181818181818182, 'recall': 0.9, 'f1-score': 0.8571428571428572, 'support': 70.0}, 'accuracy': 0.7666666666666667, 'macro avg': {'precision': 0.6398601398601399, 'recall': 0.6, 'f1-score': 0.6103896103896105, 'support': 90.0}, 'weighted avg': {'precision': 0.738927738927739, 'recall': 0.7666666666666667, 'f1-score': 0.7474747474747475, 'support': 90.0}}</t>
  </si>
  <si>
    <t>[[ 6 14]
 [ 7 63]]</t>
  </si>
  <si>
    <t>{'Flaky': {'precision': 0.35135135135135137, 'recall': 0.65, 'f1-score': 0.456140350877193, 'support': 20.0}, 'NonFlaky': {'precision': 0.8292682926829268, 'recall': 0.5862068965517241, 'f1-score': 0.6868686868686867, 'support': 58.0}, 'accuracy': 0.6025641025641025, 'macro avg': {'precision': 0.5903098220171391, 'recall': 0.618103448275862, 'f1-score': 0.5715045188729398, 'support': 78.0}, 'weighted avg': {'precision': 0.706725487213292, 'recall': 0.6025641025641025, 'f1-score': 0.6277075750759961, 'support': 78.0}}</t>
  </si>
  <si>
    <t>[[13  7]
 [24 34]]</t>
  </si>
  <si>
    <t>{'Flaky': {'precision': 0.2903225806451613, 'recall': 0.9, 'f1-score': 0.4390243902439024, 'support': 20.0}, 'NonFlaky': {'precision': 0.875, 'recall': 0.2413793103448276, 'f1-score': 0.3783783783783784, 'support': 58.0}, 'accuracy': 0.41025641025641024, 'macro avg': {'precision': 0.5826612903225806, 'recall': 0.5706896551724138, 'f1-score': 0.4087013843111404, 'support': 78.0}, 'weighted avg': {'precision': 0.7250827129859387, 'recall': 0.41025641025641024, 'f1-score': 0.39392863783107684, 'support': 78.0}}</t>
  </si>
  <si>
    <t>[[18  2]
 [44 14]]</t>
  </si>
  <si>
    <t>{'Flaky': {'precision': 0.5333333333333333, 'recall': 0.8, 'f1-score': 0.64, 'support': 20.0}, 'NonFlaky': {'precision': 0.9166666666666666, 'recall': 0.7586206896551724, 'f1-score': 0.830188679245283, 'support': 58.0}, 'accuracy': 0.7692307692307693, 'macro avg': {'precision': 0.725, 'recall': 0.7793103448275862, 'f1-score': 0.7350943396226415, 'support': 78.0}, 'weighted avg': {'precision': 0.8183760683760684, 'recall': 0.7692307692307693, 'f1-score': 0.7814223512336719, 'support': 78.0}}</t>
  </si>
  <si>
    <t>[[16  4]
 [14 44]]</t>
  </si>
  <si>
    <t>{'Flaky': {'precision': 0.0, 'recall': 0.0, 'f1-score': 0.0, 'support': 20.0}, 'NonFlaky': {'precision': 0.7435897435897436, 'recall': 1.0, 'f1-score': 0.8529411764705882, 'support': 58.0}, 'accuracy': 0.7435897435897436, 'macro avg': {'precision': 0.3717948717948718, 'recall': 0.5, 'f1-score': 0.4264705882352941, 'support': 78.0}, 'weighted avg': {'precision': 0.5529257067718607, 'recall': 0.7435897435897436, 'f1-score': 0.6342383107088989, 'support': 78.0}}</t>
  </si>
  <si>
    <t>[[ 0 20]
 [ 0 58]]</t>
  </si>
  <si>
    <t>{'Flaky': {'precision': 0.3220338983050847, 'recall': 0.95, 'f1-score': 0.48101265822784806, 'support': 20.0}, 'NonFlaky': {'precision': 0.9473684210526315, 'recall': 0.3103448275862069, 'f1-score': 0.4675324675324675, 'support': 58.0}, 'accuracy': 0.47435897435897434, 'macro avg': {'precision': 0.6347011596788581, 'recall': 0.6301724137931034, 'f1-score': 0.4742725628801578, 'support': 78.0}, 'weighted avg': {'precision': 0.7870262357327478, 'recall': 0.47435897435897434, 'f1-score': 0.4709889266851292, 'support': 78.0}}</t>
  </si>
  <si>
    <t>[[19  1]
 [40 18]]</t>
  </si>
  <si>
    <t>{'Flaky': {'precision': 0.7777777777777778, 'recall': 0.35, 'f1-score': 0.48275862068965514, 'support': 20.0}, 'NonFlaky': {'precision': 0.8115942028985508, 'recall': 0.9655172413793104, 'f1-score': 0.8818897637795277, 'support': 58.0}, 'accuracy': 0.8076923076923077, 'macro avg': {'precision': 0.7946859903381642, 'recall': 0.6577586206896552, 'f1-score': 0.6823241922345914, 'support': 78.0}, 'weighted avg': {'precision': 0.8029233246624552, 'recall': 0.8076923076923077, 'f1-score': 0.7795484450385347, 'support': 78.0}}</t>
  </si>
  <si>
    <t>[[ 7 13]
 [ 2 56]]</t>
  </si>
  <si>
    <t>{'Flaky': {'precision': 0.5229885057471264, 'recall': 0.8053097345132744, 'f1-score': 0.6341463414634146, 'support': 113.0}, 'NonFlaky': {'precision': 0.3888888888888889, 'recall': 0.14432989690721648, 'f1-score': 0.21052631578947367, 'support': 97.0}, 'accuracy': 0.5, 'macro avg': {'precision': 0.4559386973180076, 'recall': 0.47481981571024545, 'f1-score': 0.42233632862644416, 'support': 210.0}, 'weighted avg': {'precision': 0.4610472541507024, 'recall': 0.5, 'f1-score': 0.4384742343664038, 'support': 210.0}}</t>
  </si>
  <si>
    <t>[[91 22]
 [83 14]]</t>
  </si>
  <si>
    <t>{'Flaky': {'precision': 0.5862068965517241, 'recall': 0.6017699115044248, 'f1-score': 0.593886462882096, 'support': 113.0}, 'NonFlaky': {'precision': 0.5212765957446809, 'recall': 0.5051546391752577, 'f1-score': 0.5130890052356021, 'support': 97.0}, 'accuracy': 0.5571428571428572, 'macro avg': {'precision': 0.5537417461482025, 'recall': 0.5534622753398413, 'f1-score': 0.5534877340588491, 'support': 210.0}, 'weighted avg': {'precision': 0.5562152814170422, 'recall': 0.5571428571428572, 'f1-score': 0.5565657324453822, 'support': 210.0}}</t>
  </si>
  <si>
    <t>[[68 45]
 [48 49]]</t>
  </si>
  <si>
    <t>{'Flaky': {'precision': 0.6097560975609756, 'recall': 0.4424778761061947, 'f1-score': 0.5128205128205129, 'support': 113.0}, 'NonFlaky': {'precision': 0.5078125, 'recall': 0.6701030927835051, 'f1-score': 0.5777777777777778, 'support': 97.0}, 'accuracy': 0.5476190476190477, 'macro avg': {'precision': 0.5587842987804879, 'recall': 0.55629048444485, 'f1-score': 0.5452991452991454, 'support': 210.0}, 'weighted avg': {'precision': 0.5626678644018583, 'recall': 0.5476190476190477, 'f1-score': 0.5428245828245829, 'support': 210.0}}</t>
  </si>
  <si>
    <t>[[50 63]
 [32 65]]</t>
  </si>
  <si>
    <t>{'Flaky': {'precision': 0.5380952380952381, 'recall': 1.0, 'f1-score': 0.6996904024767803, 'support': 113.0}, 'NonFlaky': {'precision': 0.0, 'recall': 0.0, 'f1-score': 0.0, 'support': 97.0}, 'accuracy': 0.5380952380952381, 'macro avg': {'precision': 0.26904761904761904, 'recall': 0.5, 'f1-score': 0.34984520123839014, 'support': 210.0}, 'weighted avg': {'precision': 0.289546485260771, 'recall': 0.5380952380952381, 'f1-score': 0.37650007371369604, 'support': 210.0}}</t>
  </si>
  <si>
    <t>[[113   0]
 [ 97   0]]</t>
  </si>
  <si>
    <t>{'Flaky': {'precision': 0.5714285714285714, 'recall': 0.5663716814159292, 'f1-score': 0.5688888888888889, 'support': 113.0}, 'NonFlaky': {'precision': 0.5, 'recall': 0.5051546391752577, 'f1-score': 0.5025641025641026, 'support': 97.0}, 'accuracy': 0.5380952380952381, 'macro avg': {'precision': 0.5357142857142857, 'recall': 0.5357631602955935, 'f1-score': 0.5357264957264958, 'support': 210.0}, 'weighted avg': {'precision': 0.5384353741496598, 'recall': 0.5380952380952381, 'f1-score': 0.5382531542531542, 'support': 210.0}}</t>
  </si>
  <si>
    <t>[[64 49]
 [48 49]]</t>
  </si>
  <si>
    <t>{'Flaky': {'precision': 0.6506024096385542, 'recall': 0.4778761061946903, 'f1-score': 0.5510204081632654, 'support': 113.0}, 'NonFlaky': {'precision': 0.5354330708661418, 'recall': 0.7010309278350515, 'f1-score': 0.6071428571428571, 'support': 97.0}, 'accuracy': 0.580952380952381, 'macro avg': {'precision': 0.593017740252348, 'recall': 0.5894535170148709, 'f1-score': 0.5790816326530612, 'support': 210.0}, 'weighted avg': {'precision': 0.5974051436341541, 'recall': 0.580952380952381, 'f1-score': 0.5769436345966957, 'support': 210.0}}</t>
  </si>
  <si>
    <t>[[54 59]
 [29 68]]</t>
  </si>
  <si>
    <t>{'Flaky': {'precision': 0.0, 'recall': 0.0, 'f1-score': 0.0, 'support': 113.0}, 'NonFlaky': {'precision': 0.4405940594059406, 'recall': 0.9175257731958762, 'f1-score': 0.5953177257525083, 'support': 97.0}, 'accuracy': 0.4238095238095238, 'macro avg': {'precision': 0.2202970297029703, 'recall': 0.4587628865979381, 'f1-score': 0.29765886287625415, 'support': 210.0}, 'weighted avg': {'precision': 0.2035124941065535, 'recall': 0.4238095238095238, 'f1-score': 0.2749800923713967, 'support': 210.0}}</t>
  </si>
  <si>
    <t>[[  0 113]
 [  8  89]]</t>
  </si>
  <si>
    <t>{'Flaky': {'precision': 0.6, 'recall': 0.02654867256637168, 'f1-score': 0.05084745762711864, 'support': 113.0}, 'NonFlaky': {'precision': 0.4634146341463415, 'recall': 0.979381443298969, 'f1-score': 0.6291390728476821, 'support': 97.0}, 'accuracy': 0.4666666666666667, 'macro avg': {'precision': 0.5317073170731708, 'recall': 0.5029650579326703, 'f1-score': 0.33999326523740037, 'support': 210.0}, 'weighted avg': {'precision': 0.536910569105691, 'recall': 0.4666666666666667, 'f1-score': 0.3179631084670932, 'support': 210.0}}</t>
  </si>
  <si>
    <t>[[  3 110]
 [  2  95]]</t>
  </si>
  <si>
    <t>{'Flaky': {'precision': 0.7456445993031359, 'recall': 0.7278911564625851, 'f1-score': 0.7366609294320138, 'support': 294.0}, 'NonFlaky': {'precision': 0.8081534772182254, 'recall': 0.8219512195121951, 'f1-score': 0.8149939540507859, 'support': 410.0}, 'accuracy': 0.7826704545454546, 'macro avg': {'precision': 0.7768990382606806, 'recall': 0.7749211879873901, 'f1-score': 0.7758274417413998, 'support': 704.0}, 'weighted avg': {'precision': 0.7820489174070943, 'recall': 0.7826704545454546, 'f1-score': 0.7822810147923782, 'support': 704.0}}</t>
  </si>
  <si>
    <t>[[214  80]
 [ 73 337]]</t>
  </si>
  <si>
    <t>{'Flaky': {'precision': 0.9446366782006921, 'recall': 0.9285714285714286, 'f1-score': 0.9365351629502574, 'support': 294.0}, 'NonFlaky': {'precision': 0.9493975903614458, 'recall': 0.9609756097560975, 'f1-score': 0.9551515151515151, 'support': 410.0}, 'accuracy': 0.9474431818181818, 'macro avg': {'precision': 0.9470171342810689, 'recall': 0.9447735191637631, 'f1-score': 0.9458433390508862, 'support': 704.0}, 'weighted avg': {'precision': 0.9474093685215856, 'recall': 0.9474431818181818, 'f1-score': 0.9473770726129217, 'support': 704.0}}</t>
  </si>
  <si>
    <t>[[273  21]
 [ 16 394]]</t>
  </si>
  <si>
    <t>{'Flaky': {'precision': 0.9440559440559441, 'recall': 0.9183673469387755, 'f1-score': 0.9310344827586208, 'support': 294.0}, 'NonFlaky': {'precision': 0.9425837320574163, 'recall': 0.9609756097560975, 'f1-score': 0.9516908212560385, 'support': 410.0}, 'accuracy': 0.9431818181818182, 'macro avg': {'precision': 0.9433198380566802, 'recall': 0.9396714783474365, 'f1-score': 0.9413626520073297, 'support': 704.0}, 'weighted avg': {'precision': 0.9431985478636197, 'recall': 0.9431818181818182, 'f1-score': 0.9430644526221738, 'support': 704.0}}</t>
  </si>
  <si>
    <t>[[270  24]
 [ 16 394]]</t>
  </si>
  <si>
    <t>{'Flaky': {'precision': 0.4182076813655761, 'recall': 1.0, 'f1-score': 0.5897693079237714, 'support': 294.0}, 'NonFlaky': {'precision': 1.0, 'recall': 0.0024390243902439024, 'f1-score': 0.004866180048661801, 'support': 410.0}, 'accuracy': 0.4190340909090909, 'macro avg': {'precision': 0.7091038406827881, 'recall': 0.501219512195122, 'f1-score': 0.2973177439862166, 'support': 704.0}, 'weighted avg': {'precision': 0.7570355942066468, 'recall': 0.4190340909090909, 'f1-score': 0.2491297022010513, 'support': 704.0}}</t>
  </si>
  <si>
    <t>[[294   0]
 [409   1]]</t>
  </si>
  <si>
    <t>{'Flaky': {'precision': 0.9383561643835616, 'recall': 0.9319727891156463, 'f1-score': 0.9351535836177475, 'support': 294.0}, 'NonFlaky': {'precision': 0.9514563106796117, 'recall': 0.9560975609756097, 'f1-score': 0.953771289537713, 'support': 410.0}, 'accuracy': 0.9460227272727273, 'macro avg': {'precision': 0.9449062375315866, 'recall': 0.944035175045628, 'f1-score': 0.9444624365777302, 'support': 704.0}, 'weighted avg': {'precision': 0.9459855109480224, 'recall': 0.9460227272727273, 'f1-score': 0.9459962816677273, 'support': 704.0}}</t>
  </si>
  <si>
    <t>[[274  20]
 [ 18 392]]</t>
  </si>
  <si>
    <t>{'Flaky': {'precision': 0.8701298701298701, 'recall': 0.9115646258503401, 'f1-score': 0.8903654485049834, 'support': 294.0}, 'NonFlaky': {'precision': 0.9343434343434344, 'recall': 0.9024390243902439, 'f1-score': 0.9181141439205955, 'support': 410.0}, 'accuracy': 0.90625, 'macro avg': {'precision': 0.9022366522366523, 'recall': 0.907001825120292, 'f1-score': 0.9042397962127895, 'support': 704.0}, 'weighted avg': {'precision': 0.9075269742883378, 'recall': 0.90625, 'f1-score': 0.9065259103237348, 'support': 704.0}}</t>
  </si>
  <si>
    <t>[[268  26]
 [ 40 370]]</t>
  </si>
  <si>
    <t>{'Flaky': {'precision': 0.8956228956228957, 'recall': 0.9047619047619048, 'f1-score': 0.9001692047377328, 'support': 294.0}, 'NonFlaky': {'precision': 0.9312039312039312, 'recall': 0.9243902439024391, 'f1-score': 0.9277845777233782, 'support': 410.0}, 'accuracy': 0.9161931818181818, 'macro avg': {'precision': 0.9134134134134134, 'recall': 0.9145760743321719, 'f1-score': 0.9139768912305555, 'support': 704.0}, 'weighted avg': {'precision': 0.916344805549351, 'recall': 0.9161931818181818, 'f1-score': 0.9162520213913047, 'support': 704.0}}</t>
  </si>
  <si>
    <t>[[266  28]
 [ 31 379]]</t>
  </si>
  <si>
    <t>{'Flaky': {'precision': 0.9172185430463576, 'recall': 0.9421768707482994, 'f1-score': 0.9295302013422819, 'support': 294.0}, 'NonFlaky': {'precision': 0.9577114427860697, 'recall': 0.9390243902439024, 'f1-score': 0.9482758620689654, 'support': 410.0}, 'accuracy': 0.9403409090909091, 'macro avg': {'precision': 0.9374649929162137, 'recall': 0.9406006304961009, 'f1-score': 0.9389030317056237, 'support': 704.0}, 'weighted avg': {'precision': 0.9408010556788604, 'recall': 0.9403409090909091, 'f1-score': 0.9404474185268561, 'support': 704.0}}</t>
  </si>
  <si>
    <t>[[277  17]
 [ 25 385]]</t>
  </si>
  <si>
    <t>{'Flaky': {'precision': 0.75, 'recall': 0.84, 'f1-score': 0.7924528301886793, 'support': 50.0}, 'NonFlaky': {'precision': 0.8961038961038961, 'recall': 0.8313253012048193, 'f1-score': 0.8624999999999999, 'support': 83.0}, 'accuracy': 0.8345864661654135, 'macro avg': {'precision': 0.823051948051948, 'recall': 0.8356626506024096, 'f1-score': 0.8274764150943397, 'support': 133.0}, 'weighted avg': {'precision': 0.8411776193731081, 'recall': 0.8345864661654135, 'f1-score': 0.836166477514541, 'support': 133.0}}</t>
  </si>
  <si>
    <t>[[42  8]
 [14 69]]</t>
  </si>
  <si>
    <t>{'Flaky': {'precision': 0.9019607843137255, 'recall': 0.92, 'f1-score': 0.9108910891089109, 'support': 50.0}, 'NonFlaky': {'precision': 0.9512195121951219, 'recall': 0.9397590361445783, 'f1-score': 0.9454545454545454, 'support': 83.0}, 'accuracy': 0.9323308270676691, 'macro avg': {'precision': 0.9265901482544237, 'recall': 0.9298795180722892, 'f1-score': 0.9281728172817282, 'support': 133.0}, 'weighted avg': {'precision': 0.9327011934427174, 'recall': 0.9323308270676691, 'f1-score': 0.9324607648734798, 'support': 133.0}}</t>
  </si>
  <si>
    <t>[[46  4]
 [ 5 78]]</t>
  </si>
  <si>
    <t>{'Flaky': {'precision': 0.9487179487179487, 'recall': 0.74, 'f1-score': 0.8314606741573033, 'support': 50.0}, 'NonFlaky': {'precision': 0.8617021276595744, 'recall': 0.9759036144578314, 'f1-score': 0.9152542372881356, 'support': 83.0}, 'accuracy': 0.8872180451127819, 'macro avg': {'precision': 0.9052100381887616, 'recall': 0.8579518072289156, 'f1-score': 0.8733574557227195, 'support': 133.0}, 'weighted avg': {'precision': 0.8944148423431738, 'recall': 0.8872180451127819, 'f1-score': 0.8837528977652663, 'support': 133.0}}</t>
  </si>
  <si>
    <t>[[37 13]
 [ 2 81]]</t>
  </si>
  <si>
    <t>{'Flaky': {'precision': 0.3787878787878788, 'recall': 1.0, 'f1-score': 0.5494505494505494, 'support': 50.0}, 'NonFlaky': {'precision': 1.0, 'recall': 0.012048192771084338, 'f1-score': 0.02380952380952381, 'support': 83.0}, 'accuracy': 0.38345864661654133, 'macro avg': {'precision': 0.6893939393939394, 'recall': 0.5060240963855421, 'f1-score': 0.2866300366300366, 'support': 133.0}, 'weighted avg': {'precision': 0.7664616085668717, 'recall': 0.38345864661654133, 'f1-score': 0.22141893194524773, 'support': 133.0}}</t>
  </si>
  <si>
    <t>[[50  0]
 [82  1]]</t>
  </si>
  <si>
    <t>{'Flaky': {'precision': 0.9166666666666666, 'recall': 0.88, 'f1-score': 0.8979591836734694, 'support': 50.0}, 'NonFlaky': {'precision': 0.9294117647058824, 'recall': 0.9518072289156626, 'f1-score': 0.9404761904761904, 'support': 83.0}, 'accuracy': 0.924812030075188, 'macro avg': {'precision': 0.9230392156862746, 'recall': 0.9159036144578313, 'f1-score': 0.9192176870748299, 'support': 133.0}, 'weighted avg': {'precision': 0.9246203744655757, 'recall': 0.924812030075188, 'f1-score': 0.9244923533323103, 'support': 133.0}}</t>
  </si>
  <si>
    <t>[[44  6]
 [ 4 79]]</t>
  </si>
  <si>
    <t>{'Flaky': {'precision': 0.9743589743589743, 'recall': 0.76, 'f1-score': 0.853932584269663, 'support': 50.0}, 'NonFlaky': {'precision': 0.8723404255319149, 'recall': 0.9879518072289156, 'f1-score': 0.9265536723163843, 'support': 83.0}, 'accuracy': 0.9022556390977443, 'macro avg': {'precision': 0.9233496999454447, 'recall': 0.8739759036144579, 'f1-score': 0.8902431282930237, 'support': 133.0}, 'weighted avg': {'precision': 0.9106932634368246, 'recall': 0.9022556390977443, 'f1-score': 0.8992525113965643, 'support': 133.0}}</t>
  </si>
  <si>
    <t>[[38 12]
 [ 1 82]]</t>
  </si>
  <si>
    <t>{'Flaky': {'precision': 0.7666666666666667, 'recall': 0.92, 'f1-score': 0.8363636363636363, 'support': 50.0}, 'NonFlaky': {'precision': 0.9452054794520548, 'recall': 0.8313253012048193, 'f1-score': 0.8846153846153847, 'support': 83.0}, 'accuracy': 0.8646616541353384, 'macro avg': {'precision': 0.8559360730593608, 'recall': 0.8756626506024097, 'f1-score': 0.8604895104895105, 'support': 133.0}, 'weighted avg': {'precision': 0.8780856250214577, 'recall': 0.8646616541353384, 'f1-score': 0.8664756296335244, 'support': 133.0}}</t>
  </si>
  <si>
    <t>[[46  4]
 [14 69]]</t>
  </si>
  <si>
    <t>{'Flaky': {'precision': 0.8059701492537313, 'recall': 0.7297297297297297, 'f1-score': 0.7659574468085106, 'support': 296.0}, 'NonFlaky': {'precision': 0.7948717948717948, 'recall': 0.856353591160221, 'f1-score': 0.824468085106383, 'support': 362.0}, 'accuracy': 0.7993920972644377, 'macro avg': {'precision': 0.8004209720627631, 'recall': 0.7930416604449754, 'f1-score': 0.7952127659574468, 'support': 658.0}, 'weighted avg': {'precision': 0.799864367663669, 'recall': 0.7993920972644377, 'f1-score': 0.7981471900666106, 'support': 658.0}}</t>
  </si>
  <si>
    <t>[[216  80]
 [ 52 310]]</t>
  </si>
  <si>
    <t>{'Flaky': {'precision': 0.9489795918367347, 'recall': 0.9425675675675675, 'f1-score': 0.9457627118644069, 'support': 296.0}, 'NonFlaky': {'precision': 0.9532967032967034, 'recall': 0.9585635359116023, 'f1-score': 0.9559228650137742, 'support': 362.0}, 'accuracy': 0.9513677811550152, 'macro avg': {'precision': 0.9511381475667191, 'recall': 0.9505655517395849, 'f1-score': 0.9508427884390905, 'support': 658.0}, 'weighted avg': {'precision': 0.9513546592356841, 'recall': 0.9513677811550152, 'f1-score': 0.951352340192782, 'support': 658.0}}</t>
  </si>
  <si>
    <t>[[279  17]
 [ 15 347]]</t>
  </si>
  <si>
    <t>{'Flaky': {'precision': 0.9295302013422819, 'recall': 0.9358108108108109, 'f1-score': 0.9326599326599327, 'support': 296.0}, 'NonFlaky': {'precision': 0.9472222222222222, 'recall': 0.9419889502762431, 'f1-score': 0.9445983379501385, 'support': 362.0}, 'accuracy': 0.939209726443769, 'macro avg': {'precision': 0.9383762117822521, 'recall': 0.9388998805435269, 'f1-score': 0.9386291353050356, 'support': 658.0}, 'weighted avg': {'precision': 0.9392635015832218, 'recall': 0.939209726443769, 'f1-score': 0.9392278699168545, 'support': 658.0}}</t>
  </si>
  <si>
    <t>[[277  19]
 [ 21 341]]</t>
  </si>
  <si>
    <t>{'Flaky': {'precision': 0.46105919003115264, 'recall': 1.0, 'f1-score': 0.6311300639658848, 'support': 296.0}, 'NonFlaky': {'precision': 1.0, 'recall': 0.04419889502762431, 'f1-score': 0.08465608465608467, 'support': 362.0}, 'accuracy': 0.47416413373860183, 'macro avg': {'precision': 0.7305295950155763, 'recall': 0.5220994475138121, 'f1-score': 0.3578930743109847, 'support': 658.0}, 'weighted avg': {'precision': 0.7575585414121903, 'recall': 0.47416413373860183, 'f1-score': 0.3304863245887607, 'support': 658.0}}</t>
  </si>
  <si>
    <t>[[296   0]
 [346  16]]</t>
  </si>
  <si>
    <t>{'Flaky': {'precision': 0.9368770764119602, 'recall': 0.9527027027027027, 'f1-score': 0.9447236180904524, 'support': 296.0}, 'NonFlaky': {'precision': 0.9607843137254902, 'recall': 0.9475138121546961, 'f1-score': 0.9541029207232267, 'support': 362.0}, 'accuracy': 0.9498480243161094, 'macro avg': {'precision': 0.9488306950687252, 'recall': 0.9501082574286994, 'f1-score': 0.9494132694068396, 'support': 658.0}, 'weighted avg': {'precision': 0.9500296902531423, 'recall': 0.9498480243161094, 'f1-score': 0.9498836599644104, 'support': 658.0}}</t>
  </si>
  <si>
    <t>[[282  14]
 [ 19 343]]</t>
  </si>
  <si>
    <t>{'Flaky': {'precision': 0.9158249158249159, 'recall': 0.918918918918919, 'f1-score': 0.9173693086003373, 'support': 296.0}, 'NonFlaky': {'precision': 0.9335180055401662, 'recall': 0.930939226519337, 'f1-score': 0.9322268326417704, 'support': 362.0}, 'accuracy': 0.925531914893617, 'macro avg': {'precision': 0.924671460682541, 'recall': 0.9249290727191279, 'f1-score': 0.9247980706210539, 'support': 658.0}, 'weighted avg': {'precision': 0.9255588040877132, 'recall': 0.925531914893617, 'f1-score': 0.9255432048055026, 'support': 658.0}}</t>
  </si>
  <si>
    <t>[[272  24]
 [ 25 337]]</t>
  </si>
  <si>
    <t>{'Flaky': {'precision': 0.9169435215946844, 'recall': 0.9324324324324325, 'f1-score': 0.9246231155778895, 'support': 296.0}, 'NonFlaky': {'precision': 0.9439775910364145, 'recall': 0.930939226519337, 'f1-score': 0.937413073713491, 'support': 362.0}, 'accuracy': 0.9316109422492401, 'macro avg': {'precision': 0.9304605563155495, 'recall': 0.9316858294758847, 'f1-score': 0.9310180946456903, 'support': 658.0}, 'weighted avg': {'precision': 0.9318163683088279, 'recall': 0.9316109422492401, 'f1-score': 0.931659536315105, 'support': 658.0}}</t>
  </si>
  <si>
    <t>[[276  20]
 [ 25 337]]</t>
  </si>
  <si>
    <t>{'Flaky': {'precision': 0.9073482428115016, 'recall': 0.9594594594594594, 'f1-score': 0.9326765188834154, 'support': 296.0}, 'NonFlaky': {'precision': 0.9652173913043478, 'recall': 0.919889502762431, 'f1-score': 0.942008486562942, 'support': 362.0}, 'accuracy': 0.9376899696048632, 'macro avg': {'precision': 0.9362828170579247, 'recall': 0.9396744811109452, 'f1-score': 0.9373425027231788, 'support': 658.0}, 'weighted avg': {'precision': 0.9391850691859854, 'recall': 0.9376899696048632, 'f1-score': 0.9378105193393252, 'support': 658.0}}</t>
  </si>
  <si>
    <t>[[284  12]
 [ 29 333]]</t>
  </si>
  <si>
    <t>{'Flaky': {'precision': 0.7217391304347827, 'recall': 0.6666666666666666, 'f1-score': 0.6931106471816284, 'support': 249.0}, 'NonFlaky': {'precision': 0.7694444444444445, 'recall': 0.8123167155425219, 'f1-score': 0.7902995720399429, 'support': 341.0}, 'accuracy': 0.7508474576271187, 'macro avg': {'precision': 0.7455917874396136, 'recall': 0.7394916911045943, 'f1-score': 0.7417051096107856, 'support': 590.0}, 'weighted avg': {'precision': 0.7493111848030788, 'recall': 0.7508474576271187, 'f1-score': 0.7492825512099085, 'support': 590.0}}</t>
  </si>
  <si>
    <t>[[166  83]
 [ 64 277]]</t>
  </si>
  <si>
    <t>{'Flaky': {'precision': 0.9512195121951219, 'recall': 0.9397590361445783, 'f1-score': 0.9454545454545454, 'support': 249.0}, 'NonFlaky': {'precision': 0.9563953488372093, 'recall': 0.9648093841642229, 'f1-score': 0.9605839416058394, 'support': 341.0}, 'accuracy': 0.9542372881355933, 'macro avg': {'precision': 0.9538074305161657, 'recall': 0.9522842101544007, 'f1-score': 0.9530192435301924, 'support': 590.0}, 'weighted avg': {'precision': 0.9542109703221588, 'recall': 0.9542372881355933, 'f1-score': 0.9541988235691069, 'support': 590.0}}</t>
  </si>
  <si>
    <t>[[234  15]
 [ 12 329]]</t>
  </si>
  <si>
    <t>{'Flaky': {'precision': 0.9495798319327731, 'recall': 0.9076305220883534, 'f1-score': 0.9281314168377823, 'support': 249.0}, 'NonFlaky': {'precision': 0.9346590909090909, 'recall': 0.9648093841642229, 'f1-score': 0.9494949494949496, 'support': 341.0}, 'accuracy': 0.940677966101695, 'macro avg': {'precision': 0.9421194614209321, 'recall': 0.9362199531262881, 'f1-score': 0.938813183166366, 'support': 590.0}, 'weighted avg': {'precision': 0.940956149408916, 'recall': 0.940677966101695, 'f1-score': 0.9404788145260774, 'support': 590.0}}</t>
  </si>
  <si>
    <t>[[226  23]
 [ 12 329]]</t>
  </si>
  <si>
    <t>{'Flaky': {'precision': 0.43005181347150256, 'recall': 1.0, 'f1-score': 0.6014492753623188, 'support': 249.0}, 'NonFlaky': {'precision': 1.0, 'recall': 0.03225806451612903, 'f1-score': 0.0625, 'support': 341.0}, 'accuracy': 0.4406779661016949, 'macro avg': {'precision': 0.7150259067357513, 'recall': 0.5161290322580645, 'f1-score': 0.3319746376811594, 'support': 590.0}, 'weighted avg': {'precision': 0.7594625450074647, 'recall': 0.4406779661016949, 'f1-score': 0.28995486366986, 'support': 590.0}}</t>
  </si>
  <si>
    <t>[[249   0]
 [330  11]]</t>
  </si>
  <si>
    <t>{'Flaky': {'precision': 0.9251968503937008, 'recall': 0.9437751004016064, 'f1-score': 0.9343936381709742, 'support': 249.0}, 'NonFlaky': {'precision': 0.9583333333333334, 'recall': 0.9442815249266863, 'f1-score': 0.9512555391432792, 'support': 341.0}, 'accuracy': 0.9440677966101695, 'macro avg': {'precision': 0.9417650918635171, 'recall': 0.9440283126641463, 'f1-score': 0.9428245886571267, 'support': 590.0}, 'weighted avg': {'precision': 0.9443486142622003, 'recall': 0.9440677966101695, 'f1-score': 0.9441392453431031, 'support': 590.0}}</t>
  </si>
  <si>
    <t>[[235  14]
 [ 19 322]]</t>
  </si>
  <si>
    <t>{'Flaky': {'precision': 0.9215686274509803, 'recall': 0.9437751004016064, 'f1-score': 0.9325396825396824, 'support': 249.0}, 'NonFlaky': {'precision': 0.9582089552238806, 'recall': 0.9413489736070382, 'f1-score': 0.9497041420118344, 'support': 341.0}, 'accuracy': 0.9423728813559322, 'macro avg': {'precision': 0.9398887913374305, 'recall': 0.9425620370043223, 'f1-score': 0.9411219122757584, 'support': 590.0}, 'weighted avg': {'precision': 0.9427454948587075, 'recall': 0.9423728813559322, 'f1-score': 0.9424601582685025, 'support': 590.0}}</t>
  </si>
  <si>
    <t>[[235  14]
 [ 20 321]]</t>
  </si>
  <si>
    <t>{'Flaky': {'precision': 0.9473684210526315, 'recall': 0.9397590361445783, 'f1-score': 0.9435483870967742, 'support': 249.0}, 'NonFlaky': {'precision': 0.956268221574344, 'recall': 0.9618768328445748, 'f1-score': 0.9590643274853802, 'support': 341.0}, 'accuracy': 0.9525423728813559, 'macro avg': {'precision': 0.9518183213134878, 'recall': 0.9508179344945766, 'f1-score': 0.9513063572910772, 'support': 590.0}, 'weighted avg': {'precision': 0.9525122040660281, 'recall': 0.9525423728813559, 'f1-score': 0.9525160746773075, 'support': 590.0}}</t>
  </si>
  <si>
    <t>[[234  15]
 [ 13 328]]</t>
  </si>
  <si>
    <t>{'Flaky': {'precision': 0.6666666666666666, 'recall': 1.0, 'f1-score': 0.8, 'support': 2.0}, 'NonFlaky': {'precision': 1.0, 'recall': 0.96, 'f1-score': 0.9795918367346939, 'support': 25.0}, 'accuracy': 0.9629629629629629, 'macro avg': {'precision': 0.8333333333333333, 'recall': 0.98, 'f1-score': 0.889795918367347, 'support': 27.0}, 'weighted avg': {'precision': 0.9753086419753086, 'recall': 0.9629629629629629, 'f1-score': 0.9662887377173092, 'support': 27.0}}</t>
  </si>
  <si>
    <t>[[ 2  0]
 [ 1 24]]</t>
  </si>
  <si>
    <t>{'Flaky': {'precision': 0.07407407407407407, 'recall': 1.0, 'f1-score': 0.13793103448275862, 'support': 2.0}, 'NonFlaky': {'precision': 0.0, 'recall': 0.0, 'f1-score': 0.0, 'support': 25.0}, 'accuracy': 0.07407407407407407, 'macro avg': {'precision': 0.037037037037037035, 'recall': 0.5, 'f1-score': 0.06896551724137931, 'support': 27.0}, 'weighted avg': {'precision': 0.0054869684499314125, 'recall': 0.07407407407407407, 'f1-score': 0.010217113665389528, 'support': 27.0}}</t>
  </si>
  <si>
    <t>[[ 2  0]
 [25  0]]</t>
  </si>
  <si>
    <t>{'Flaky': {'precision': 0.5, 'recall': 1.0, 'f1-score': 0.6666666666666666, 'support': 2.0}, 'NonFlaky': {'precision': 1.0, 'recall': 0.92, 'f1-score': 0.9583333333333334, 'support': 25.0}, 'accuracy': 0.9259259259259259, 'macro avg': {'precision': 0.75, 'recall': 0.96, 'f1-score': 0.8125, 'support': 27.0}, 'weighted avg': {'precision': 0.9629629629629629, 'recall': 0.9259259259259259, 'f1-score': 0.9367283950617284, 'support': 27.0}}</t>
  </si>
  <si>
    <t>[[ 2  0]
 [ 2 23]]</t>
  </si>
  <si>
    <t>{'Flaky': {'precision': 1.0, 'recall': 1.0, 'f1-score': 1.0, 'support': 4.0}, 'NonFlaky': {'precision': 1.0, 'recall': 1.0, 'f1-score': 1.0, 'support': 20.0}, 'accuracy': 1.0, 'macro avg': {'precision': 1.0, 'recall': 1.0, 'f1-score': 1.0, 'support': 24.0}, 'weighted avg': {'precision': 1.0, 'recall': 1.0, 'f1-score': 1.0, 'support': 24.0}}</t>
  </si>
  <si>
    <t>[[ 4  0]
 [ 0 20]]</t>
  </si>
  <si>
    <t>{'Flaky': {'precision': 1.0, 'recall': 0.25, 'f1-score': 0.4, 'support': 4.0}, 'NonFlaky': {'precision': 0.8695652173913043, 'recall': 1.0, 'f1-score': 0.9302325581395349, 'support': 20.0}, 'accuracy': 0.875, 'macro avg': {'precision': 0.9347826086956521, 'recall': 0.625, 'f1-score': 0.6651162790697674, 'support': 24.0}, 'weighted avg': {'precision': 0.8913043478260869, 'recall': 0.875, 'f1-score': 0.8418604651162792, 'support': 24.0}}</t>
  </si>
  <si>
    <t>[[ 1  3]
 [ 0 20]]</t>
  </si>
  <si>
    <t>{'Flaky': {'precision': 0.0, 'recall': 0.0, 'f1-score': 0.0, 'support': 4.0}, 'NonFlaky': {'precision': 0.8333333333333334, 'recall': 1.0, 'f1-score': 0.9090909090909091, 'support': 20.0}, 'accuracy': 0.8333333333333334, 'macro avg': {'precision': 0.4166666666666667, 'recall': 0.5, 'f1-score': 0.45454545454545453, 'support': 24.0}, 'weighted avg': {'precision': 0.6944444444444445, 'recall': 0.8333333333333334, 'f1-score': 0.7575757575757575, 'support': 24.0}}</t>
  </si>
  <si>
    <t>[[ 0  4]
 [ 0 20]]</t>
  </si>
  <si>
    <t>{'Flaky': {'precision': 0.8, 'recall': 1.0, 'f1-score': 0.888888888888889, 'support': 4.0}, 'NonFlaky': {'precision': 1.0, 'recall': 0.95, 'f1-score': 0.9743589743589743, 'support': 20.0}, 'accuracy': 0.9583333333333334, 'macro avg': {'precision': 0.9, 'recall': 0.975, 'f1-score': 0.9316239316239316, 'support': 24.0}, 'weighted avg': {'precision': 0.9666666666666667, 'recall': 0.9583333333333334, 'f1-score': 0.9601139601139601, 'support': 24.0}}</t>
  </si>
  <si>
    <t>[[ 4  0]
 [ 1 19]]</t>
  </si>
  <si>
    <t>{'Flaky': {'precision': 0.9230769230769231, 'recall': 0.96, 'f1-score': 0.9411764705882353, 'support': 25.0}, 'NonFlaky': {'precision': 0.972972972972973, 'recall': 0.9473684210526315, 'f1-score': 0.9599999999999999, 'support': 38.0}, 'accuracy': 0.9523809523809523, 'macro avg': {'precision': 0.9480249480249481, 'recall': 0.9536842105263157, 'f1-score': 0.9505882352941175, 'support': 63.0}, 'weighted avg': {'precision': 0.9531729531729531, 'recall': 0.9523809523809523, 'f1-score': 0.9525303454715218, 'support': 63.0}}</t>
  </si>
  <si>
    <t>[[24  1]
 [ 2 36]]</t>
  </si>
  <si>
    <t>{'Flaky': {'precision': 0.9259259259259259, 'recall': 1.0, 'f1-score': 0.9615384615384615, 'support': 25.0}, 'NonFlaky': {'precision': 1.0, 'recall': 0.9473684210526315, 'f1-score': 0.972972972972973, 'support': 38.0}, 'accuracy': 0.9682539682539683, 'macro avg': {'precision': 0.962962962962963, 'recall': 0.9736842105263157, 'f1-score': 0.9672557172557172, 'support': 63.0}, 'weighted avg': {'precision': 0.9706055261610818, 'recall': 0.9682539682539683, 'f1-score': 0.9684354684354685, 'support': 63.0}}</t>
  </si>
  <si>
    <t>[[25  0]
 [ 2 36]]</t>
  </si>
  <si>
    <t>{'Flaky': {'precision': 0.6410256410256411, 'recall': 1.0, 'f1-score': 0.7812500000000001, 'support': 25.0}, 'NonFlaky': {'precision': 1.0, 'recall': 0.631578947368421, 'f1-score': 0.7741935483870968, 'support': 38.0}, 'accuracy': 0.7777777777777778, 'macro avg': {'precision': 0.8205128205128205, 'recall': 0.8157894736842105, 'f1-score': 0.7777217741935485, 'support': 63.0}, 'weighted avg': {'precision': 0.8575498575498575, 'recall': 0.7777777777777778, 'f1-score': 0.7769937275985663, 'support': 63.0}}</t>
  </si>
  <si>
    <t>[[25  0]
 [14 24]]</t>
  </si>
  <si>
    <t>{'Flaky': {'precision': 0.3968253968253968, 'recall': 1.0, 'f1-score': 0.5681818181818182, 'support': 25.0}, 'NonFlaky': {'precision': 0.0, 'recall': 0.0, 'f1-score': 0.0, 'support': 38.0}, 'accuracy': 0.3968253968253968, 'macro avg': {'precision': 0.1984126984126984, 'recall': 0.5, 'f1-score': 0.2840909090909091, 'support': 63.0}, 'weighted avg': {'precision': 0.15747039556563366, 'recall': 0.3968253968253968, 'f1-score': 0.22546897546897549, 'support': 63.0}}</t>
  </si>
  <si>
    <t>[[25  0]
 [38  0]]</t>
  </si>
  <si>
    <t>{'Flaky': {'precision': 0.9615384615384616, 'recall': 1.0, 'f1-score': 0.9803921568627451, 'support': 25.0}, 'NonFlaky': {'precision': 1.0, 'recall': 0.9736842105263158, 'f1-score': 0.9866666666666666, 'support': 38.0}, 'accuracy': 0.9841269841269841, 'macro avg': {'precision': 0.9807692307692308, 'recall': 0.986842105263158, 'f1-score': 0.9835294117647058, 'support': 63.0}, 'weighted avg': {'precision': 0.9847374847374848, 'recall': 0.9841269841269841, 'f1-score': 0.9841767818238406, 'support': 63.0}}</t>
  </si>
  <si>
    <t>[[25  0]
 [ 1 37]]</t>
  </si>
  <si>
    <t>{'Flaky': {'precision': 0.8461538461538461, 'recall': 0.88, 'f1-score': 0.8627450980392156, 'support': 25.0}, 'NonFlaky': {'precision': 0.918918918918919, 'recall': 0.8947368421052632, 'f1-score': 0.9066666666666667, 'support': 38.0}, 'accuracy': 0.8888888888888888, 'macro avg': {'precision': 0.8825363825363826, 'recall': 0.8873684210526316, 'f1-score': 0.8847058823529412, 'support': 63.0}, 'weighted avg': {'precision': 0.8900438900438901, 'recall': 0.8888888888888888, 'f1-score': 0.8892374727668845, 'support': 63.0}}</t>
  </si>
  <si>
    <t>[[22  3]
 [ 4 34]]</t>
  </si>
  <si>
    <t>{'Flaky': {'precision': 0.7833333333333333, 'recall': 0.7430830039525692, 'f1-score': 0.7626774847870182, 'support': 253.0}, 'NonFlaky': {'precision': 0.8042168674698795, 'recall': 0.8369905956112853, 'f1-score': 0.8202764976958525, 'support': 319.0}, 'accuracy': 0.7954545454545454, 'macro avg': {'precision': 0.7937751004016065, 'recall': 0.7900367997819273, 'f1-score': 0.7914769912414354, 'support': 572.0}, 'weighted avg': {'precision': 0.794979919678715, 'recall': 0.7954545454545454, 'f1-score': 0.7948000112169451, 'support': 572.0}}</t>
  </si>
  <si>
    <t>[[188  65]
 [ 52 267]]</t>
  </si>
  <si>
    <t>{'Flaky': {'precision': 0.9673469387755103, 'recall': 0.9367588932806324, 'f1-score': 0.9518072289156628, 'support': 253.0}, 'NonFlaky': {'precision': 0.9510703363914373, 'recall': 0.9749216300940439, 'f1-score': 0.9628482972136223, 'support': 319.0}, 'accuracy': 0.958041958041958, 'macro avg': {'precision': 0.9592086375834739, 'recall': 0.9558402616873382, 'f1-score': 0.9573277630646426, 'support': 572.0}, 'weighted avg': {'precision': 0.9582696028305464, 'recall': 0.958041958041958, 'f1-score': 0.9579647477741403, 'support': 572.0}}</t>
  </si>
  <si>
    <t>[[237  16]
 [  8 311]]</t>
  </si>
  <si>
    <t>{'Flaky': {'precision': 0.9556451612903226, 'recall': 0.9367588932806324, 'f1-score': 0.9461077844311377, 'support': 253.0}, 'NonFlaky': {'precision': 0.9506172839506173, 'recall': 0.9655172413793104, 'f1-score': 0.9580093312597202, 'support': 319.0}, 'accuracy': 0.9527972027972028, 'macro avg': {'precision': 0.95313122262047, 'recall': 0.9511380673299714, 'f1-score': 0.952058557845429, 'support': 572.0}, 'weighted avg': {'precision': 0.9528411527739485, 'recall': 0.9527972027972028, 'f1-score': 0.9527451855470781, 'support': 572.0}}</t>
  </si>
  <si>
    <t>[[237  16]
 [ 11 308]]</t>
  </si>
  <si>
    <t>{'Flaky': {'precision': 0.4548736462093863, 'recall': 0.9960474308300395, 'f1-score': 0.6245353159851301, 'support': 253.0}, 'NonFlaky': {'precision': 0.9444444444444444, 'recall': 0.05329153605015674, 'f1-score': 0.10089020771513355, 'support': 319.0}, 'accuracy': 0.47027972027972026, 'macro avg': {'precision': 0.6996590453269154, 'recall': 0.5246694834400981, 'f1-score': 0.36271276185013185, 'support': 572.0}, 'weighted avg': {'precision': 0.727903514455861, 'recall': 0.47027972027972026, 'f1-score': 0.33250246714224746, 'support': 572.0}}</t>
  </si>
  <si>
    <t>[[252   1]
 [302  17]]</t>
  </si>
  <si>
    <t>{'Flaky': {'precision': 0.967479674796748, 'recall': 0.9407114624505929, 'f1-score': 0.9539078156312625, 'support': 253.0}, 'NonFlaky': {'precision': 0.9539877300613497, 'recall': 0.9749216300940439, 'f1-score': 0.9643410852713179, 'support': 319.0}, 'accuracy': 0.9597902097902098, 'macro avg': {'precision': 0.9607337024290489, 'recall': 0.9578165462723184, 'f1-score': 0.9591244504512901, 'support': 572.0}, 'weighted avg': {'precision': 0.9599553210020068, 'recall': 0.9597902097902098, 'f1-score': 0.959726369853601, 'support': 572.0}}</t>
  </si>
  <si>
    <t>[[238  15]
 [  8 311]]</t>
  </si>
  <si>
    <t>{'Flaky': {'precision': 0.94140625, 'recall': 0.9525691699604744, 'f1-score': 0.9469548133595285, 'support': 253.0}, 'NonFlaky': {'precision': 0.9620253164556962, 'recall': 0.9529780564263323, 'f1-score': 0.95748031496063, 'support': 319.0}, 'accuracy': 0.9527972027972028, 'macro avg': {'precision': 0.9517157832278481, 'recall': 0.9527736131934033, 'f1-score': 0.9522175641600792, 'support': 572.0}, 'weighted avg': {'precision': 0.9529053447541382, 'recall': 0.9527972027972028, 'f1-score': 0.952824804637066, 'support': 572.0}}</t>
  </si>
  <si>
    <t>[[241  12]
 [ 15 304]]</t>
  </si>
  <si>
    <t>{'Flaky': {'precision': 0.9083969465648855, 'recall': 0.9407114624505929, 'f1-score': 0.9242718446601942, 'support': 253.0}, 'NonFlaky': {'precision': 0.9516129032258065, 'recall': 0.9247648902821317, 'f1-score': 0.9379968203497616, 'support': 319.0}, 'accuracy': 0.9318181818181818, 'macro avg': {'precision': 0.9300049248953459, 'recall': 0.9327381763663622, 'f1-score': 0.9311343325049779, 'support': 572.0}, 'weighted avg': {'precision': 0.9324981531642451, 'recall': 0.9318181818181818, 'f1-score': 0.9319261580255299, 'support': 572.0}}</t>
  </si>
  <si>
    <t>[[238  15]
 [ 24 295]]</t>
  </si>
  <si>
    <t>{'Flaky': {'precision': 0.9453125, 'recall': 0.9565217391304348, 'f1-score': 0.9508840864440079, 'support': 253.0}, 'NonFlaky': {'precision': 0.9651898734177216, 'recall': 0.9561128526645768, 'f1-score': 0.9606299212598425, 'support': 319.0}, 'accuracy': 0.9562937062937062, 'macro avg': {'precision': 0.9552511867088608, 'recall': 0.9563172958975058, 'f1-score': 0.9557570038519252, 'support': 572.0}, 'weighted avg': {'precision': 0.9563979582521908, 'recall': 0.9562937062937062, 'f1-score': 0.9563192635528388, 'support': 572.0}}</t>
  </si>
  <si>
    <t>[[242  11]
 [ 14 305]]</t>
  </si>
  <si>
    <t xml:space="preserve">{'Flaky': {'precision': 0.20833333333333334, 'recall': 0.04424778761061947, 'f1-score': 0.072992700729927, 'support': 113.0}, 'NonFlaky': {'precision': 0.41935483870967744, 'recall': 0.8041237113402062, 'f1-score': 0.5512367491166078, 'support': 97.0}, 'accuracy': 0.3952380952380952, 'macro avg': {'precision': 0.3138440860215054, 'recall': 0.4241857494754128, 'f1-score': 0.3121147249232674, 'support': 210.0},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</si>
</sst>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42F76-1D68-3B4A-BEB7-C13082935FF7}" name="Table1" displayName="Table1" ref="A1:C6" totalsRowShown="0" headerRowCellStyle="Normal" dataCellStyle="Normal">
  <autoFilter ref="A1:C6" xr:uid="{22A42F76-1D68-3B4A-BEB7-C13082935FF7}"/>
  <tableColumns count="3">
    <tableColumn id="1" xr3:uid="{E70797FC-832C-FA41-A67D-999E103E8CED}" name="Language" dataCellStyle="Normal"/>
    <tableColumn id="2" xr3:uid="{F1108CEB-06E2-7C40-AD3B-BD4681F762DF}" name="Flaky" dataCellStyle="Normal"/>
    <tableColumn id="3" xr3:uid="{6E4EFD48-11F1-8342-9783-70CCD36B90D4}" name="NonFlaky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zoomScaleNormal="100"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19.83203125" customWidth="1"/>
    <col min="2" max="2" width="23" customWidth="1"/>
    <col min="3" max="3" width="24.83203125" customWidth="1"/>
    <col min="4" max="4" width="15.6640625" customWidth="1"/>
    <col min="5" max="5" width="23.5" customWidth="1"/>
    <col min="6" max="6" width="62.1640625" customWidth="1"/>
    <col min="7" max="7" width="14.6640625" customWidth="1"/>
    <col min="8" max="8" width="23.33203125" customWidth="1"/>
    <col min="9" max="9" width="20.16406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530</v>
      </c>
      <c r="F1" s="1" t="s">
        <v>4</v>
      </c>
      <c r="G1" s="1" t="s">
        <v>5</v>
      </c>
      <c r="H1" s="1" t="s">
        <v>6</v>
      </c>
      <c r="I1" s="2" t="s">
        <v>233</v>
      </c>
    </row>
    <row r="2" spans="1:9" x14ac:dyDescent="0.2">
      <c r="A2" s="4" t="s">
        <v>123</v>
      </c>
      <c r="B2" t="s">
        <v>7</v>
      </c>
      <c r="C2">
        <v>0.95978186117636688</v>
      </c>
      <c r="D2">
        <v>0.95979020979020979</v>
      </c>
      <c r="E2" t="s">
        <v>15</v>
      </c>
      <c r="F2" t="s">
        <v>69</v>
      </c>
      <c r="G2">
        <v>0.99561376336625074</v>
      </c>
      <c r="H2">
        <v>0.91846772965605716</v>
      </c>
      <c r="I2" s="7" t="s">
        <v>234</v>
      </c>
    </row>
    <row r="3" spans="1:9" x14ac:dyDescent="0.2">
      <c r="A3" s="5"/>
      <c r="B3" t="s">
        <v>8</v>
      </c>
      <c r="C3">
        <v>0.9476107975292114</v>
      </c>
      <c r="D3">
        <v>0.94755244755244761</v>
      </c>
      <c r="E3" t="s">
        <v>16</v>
      </c>
      <c r="F3" t="s">
        <v>70</v>
      </c>
      <c r="G3">
        <v>0.94807141883603663</v>
      </c>
      <c r="H3">
        <v>0.89415084105254938</v>
      </c>
      <c r="I3" s="8"/>
    </row>
    <row r="4" spans="1:9" x14ac:dyDescent="0.2">
      <c r="A4" s="5"/>
      <c r="B4" t="s">
        <v>9</v>
      </c>
      <c r="C4">
        <v>0.9650488173738806</v>
      </c>
      <c r="D4">
        <v>0.965034965034965</v>
      </c>
      <c r="E4" t="s">
        <v>17</v>
      </c>
      <c r="F4" t="s">
        <v>71</v>
      </c>
      <c r="G4">
        <v>0.96490391168052347</v>
      </c>
      <c r="H4">
        <v>0.92920755668063304</v>
      </c>
      <c r="I4" s="8"/>
    </row>
    <row r="5" spans="1:9" x14ac:dyDescent="0.2">
      <c r="A5" s="5"/>
      <c r="B5" t="s">
        <v>10</v>
      </c>
      <c r="C5">
        <v>0.95438675245648164</v>
      </c>
      <c r="D5">
        <v>0.95454545454545459</v>
      </c>
      <c r="E5" t="s">
        <v>18</v>
      </c>
      <c r="F5" t="s">
        <v>72</v>
      </c>
      <c r="G5">
        <v>0.98029910664502462</v>
      </c>
      <c r="H5">
        <v>0.90846541165686334</v>
      </c>
      <c r="I5" s="8"/>
    </row>
    <row r="6" spans="1:9" x14ac:dyDescent="0.2">
      <c r="A6" s="5"/>
      <c r="B6" t="s">
        <v>11</v>
      </c>
      <c r="C6">
        <v>0.96327909063929151</v>
      </c>
      <c r="D6">
        <v>0.96328671328671334</v>
      </c>
      <c r="E6" t="s">
        <v>19</v>
      </c>
      <c r="F6" t="s">
        <v>73</v>
      </c>
      <c r="G6">
        <v>0.96258688837399486</v>
      </c>
      <c r="H6">
        <v>0.92555803873297449</v>
      </c>
      <c r="I6" s="8"/>
    </row>
    <row r="7" spans="1:9" x14ac:dyDescent="0.2">
      <c r="A7" s="5"/>
      <c r="B7" t="s">
        <v>12</v>
      </c>
      <c r="C7">
        <v>0.95791965119900346</v>
      </c>
      <c r="D7">
        <v>0.95804195804195802</v>
      </c>
      <c r="E7" t="s">
        <v>20</v>
      </c>
      <c r="F7" t="s">
        <v>74</v>
      </c>
      <c r="G7">
        <v>0.98608546966186328</v>
      </c>
      <c r="H7">
        <v>0.91536845332283345</v>
      </c>
      <c r="I7" s="8"/>
    </row>
    <row r="8" spans="1:9" x14ac:dyDescent="0.2">
      <c r="A8" s="5"/>
      <c r="B8" t="s">
        <v>13</v>
      </c>
      <c r="C8">
        <v>0.9366815003178639</v>
      </c>
      <c r="D8">
        <v>0.93706293706293708</v>
      </c>
      <c r="E8" t="s">
        <v>21</v>
      </c>
      <c r="F8" t="s">
        <v>75</v>
      </c>
      <c r="G8">
        <v>0.97998934417088979</v>
      </c>
      <c r="H8">
        <v>0.87397804471524898</v>
      </c>
      <c r="I8" s="8"/>
    </row>
    <row r="9" spans="1:9" x14ac:dyDescent="0.2">
      <c r="A9" s="6"/>
      <c r="B9" t="s">
        <v>14</v>
      </c>
      <c r="C9">
        <v>0.76934522409635542</v>
      </c>
      <c r="D9">
        <v>0.77097902097902093</v>
      </c>
      <c r="E9" t="s">
        <v>22</v>
      </c>
      <c r="F9" t="s">
        <v>76</v>
      </c>
      <c r="G9">
        <v>0.76196612437582867</v>
      </c>
      <c r="H9">
        <v>0.53312305428117457</v>
      </c>
      <c r="I9" s="8"/>
    </row>
    <row r="10" spans="1:9" x14ac:dyDescent="0.2">
      <c r="A10" s="4" t="s">
        <v>124</v>
      </c>
      <c r="B10" t="s">
        <v>7</v>
      </c>
      <c r="C10">
        <v>0.93709582598471486</v>
      </c>
      <c r="D10">
        <v>0.93650793650793651</v>
      </c>
      <c r="E10" t="s">
        <v>23</v>
      </c>
      <c r="F10" t="s">
        <v>77</v>
      </c>
      <c r="G10">
        <v>1</v>
      </c>
      <c r="H10">
        <v>0.87825102555240298</v>
      </c>
      <c r="I10" s="7" t="s">
        <v>235</v>
      </c>
    </row>
    <row r="11" spans="1:9" x14ac:dyDescent="0.2">
      <c r="A11" s="5"/>
      <c r="B11" t="s">
        <v>8</v>
      </c>
      <c r="C11">
        <v>0.90578231292516997</v>
      </c>
      <c r="D11">
        <v>0.90476190476190477</v>
      </c>
      <c r="E11" t="s">
        <v>24</v>
      </c>
      <c r="F11" t="s">
        <v>78</v>
      </c>
      <c r="G11">
        <v>0.92105263157894735</v>
      </c>
      <c r="H11">
        <v>0.8240856434303292</v>
      </c>
      <c r="I11" s="8"/>
    </row>
    <row r="12" spans="1:9" x14ac:dyDescent="0.2">
      <c r="A12" s="5"/>
      <c r="B12" t="s">
        <v>9</v>
      </c>
      <c r="C12">
        <v>0.96825396825396826</v>
      </c>
      <c r="D12">
        <v>0.96825396825396826</v>
      </c>
      <c r="E12" t="s">
        <v>25</v>
      </c>
      <c r="F12" t="s">
        <v>79</v>
      </c>
      <c r="G12">
        <v>0.96631578947368435</v>
      </c>
      <c r="H12">
        <v>0.93368421052631578</v>
      </c>
      <c r="I12" s="8"/>
    </row>
    <row r="13" spans="1:9" x14ac:dyDescent="0.2">
      <c r="A13" s="5"/>
      <c r="B13" t="s">
        <v>10</v>
      </c>
      <c r="C13">
        <v>0.93709582598471486</v>
      </c>
      <c r="D13">
        <v>0.93650793650793651</v>
      </c>
      <c r="E13" t="s">
        <v>23</v>
      </c>
      <c r="F13" t="s">
        <v>77</v>
      </c>
      <c r="G13">
        <v>0.97368421052631571</v>
      </c>
      <c r="H13">
        <v>0.87825102555240298</v>
      </c>
      <c r="I13" s="8"/>
    </row>
    <row r="14" spans="1:9" x14ac:dyDescent="0.2">
      <c r="A14" s="5"/>
      <c r="B14" t="s">
        <v>11</v>
      </c>
      <c r="C14">
        <v>1</v>
      </c>
      <c r="D14">
        <v>1</v>
      </c>
      <c r="E14" t="s">
        <v>26</v>
      </c>
      <c r="F14" t="s">
        <v>80</v>
      </c>
      <c r="G14">
        <v>1</v>
      </c>
      <c r="H14">
        <v>1</v>
      </c>
      <c r="I14" s="8"/>
    </row>
    <row r="15" spans="1:9" x14ac:dyDescent="0.2">
      <c r="A15" s="5"/>
      <c r="B15" t="s">
        <v>12</v>
      </c>
      <c r="C15">
        <v>0.93709582598471486</v>
      </c>
      <c r="D15">
        <v>0.93650793650793651</v>
      </c>
      <c r="E15" t="s">
        <v>23</v>
      </c>
      <c r="F15" t="s">
        <v>77</v>
      </c>
      <c r="G15">
        <v>0.99894736842105258</v>
      </c>
      <c r="H15">
        <v>0.87825102555240298</v>
      </c>
      <c r="I15" s="8"/>
    </row>
    <row r="16" spans="1:9" x14ac:dyDescent="0.2">
      <c r="A16" s="5"/>
      <c r="B16" t="s">
        <v>13</v>
      </c>
      <c r="C16">
        <v>0.95275018769461783</v>
      </c>
      <c r="D16">
        <v>0.95238095238095233</v>
      </c>
      <c r="E16" t="s">
        <v>27</v>
      </c>
      <c r="F16" t="s">
        <v>81</v>
      </c>
      <c r="G16">
        <v>0.99368421052631573</v>
      </c>
      <c r="H16">
        <v>0.90684531263751467</v>
      </c>
      <c r="I16" s="8"/>
    </row>
    <row r="17" spans="1:9" x14ac:dyDescent="0.2">
      <c r="A17" s="6"/>
      <c r="B17" t="s">
        <v>14</v>
      </c>
      <c r="C17">
        <v>0.78855575151871449</v>
      </c>
      <c r="D17">
        <v>0.79365079365079361</v>
      </c>
      <c r="E17" t="s">
        <v>28</v>
      </c>
      <c r="F17" t="s">
        <v>82</v>
      </c>
      <c r="G17">
        <v>0.82052631578947366</v>
      </c>
      <c r="H17">
        <v>0.56202118203634244</v>
      </c>
      <c r="I17" s="8"/>
    </row>
    <row r="18" spans="1:9" x14ac:dyDescent="0.2">
      <c r="A18" s="4" t="s">
        <v>125</v>
      </c>
      <c r="B18" t="s">
        <v>7</v>
      </c>
      <c r="C18">
        <v>0.95586527293844359</v>
      </c>
      <c r="D18">
        <v>0.95833333333333337</v>
      </c>
      <c r="E18" t="s">
        <v>29</v>
      </c>
      <c r="F18" t="s">
        <v>83</v>
      </c>
      <c r="G18">
        <v>1</v>
      </c>
      <c r="H18">
        <v>0.84515425472851657</v>
      </c>
      <c r="I18" s="7" t="s">
        <v>236</v>
      </c>
    </row>
    <row r="19" spans="1:9" x14ac:dyDescent="0.2">
      <c r="A19" s="5"/>
      <c r="B19" t="s">
        <v>8</v>
      </c>
      <c r="C19">
        <v>0.90476190476190477</v>
      </c>
      <c r="D19">
        <v>0.91666666666666663</v>
      </c>
      <c r="E19" t="s">
        <v>30</v>
      </c>
      <c r="F19" t="s">
        <v>84</v>
      </c>
      <c r="G19">
        <v>0.75</v>
      </c>
      <c r="H19">
        <v>0.67419986246324204</v>
      </c>
      <c r="I19" s="8"/>
    </row>
    <row r="20" spans="1:9" x14ac:dyDescent="0.2">
      <c r="A20" s="5"/>
      <c r="B20" t="s">
        <v>9</v>
      </c>
      <c r="C20">
        <v>0.85185185185185197</v>
      </c>
      <c r="D20">
        <v>0.83333333333333337</v>
      </c>
      <c r="E20" t="s">
        <v>31</v>
      </c>
      <c r="F20" t="s">
        <v>85</v>
      </c>
      <c r="G20">
        <v>0.9</v>
      </c>
      <c r="H20">
        <v>0.63245553203367588</v>
      </c>
      <c r="I20" s="8"/>
    </row>
    <row r="21" spans="1:9" x14ac:dyDescent="0.2">
      <c r="A21" s="5"/>
      <c r="B21" t="s">
        <v>10</v>
      </c>
      <c r="C21">
        <v>0.95586527293844359</v>
      </c>
      <c r="D21">
        <v>0.95833333333333337</v>
      </c>
      <c r="E21" t="s">
        <v>29</v>
      </c>
      <c r="F21" t="s">
        <v>83</v>
      </c>
      <c r="G21">
        <v>0.98750000000000004</v>
      </c>
      <c r="H21">
        <v>0.84515425472851657</v>
      </c>
      <c r="I21" s="8"/>
    </row>
    <row r="22" spans="1:9" x14ac:dyDescent="0.2">
      <c r="A22" s="5"/>
      <c r="B22" t="s">
        <v>11</v>
      </c>
      <c r="C22">
        <v>0.95586527293844359</v>
      </c>
      <c r="D22">
        <v>0.95833333333333337</v>
      </c>
      <c r="E22" t="s">
        <v>29</v>
      </c>
      <c r="F22" t="s">
        <v>83</v>
      </c>
      <c r="G22">
        <v>0.875</v>
      </c>
      <c r="H22">
        <v>0.84515425472851657</v>
      </c>
      <c r="I22" s="8"/>
    </row>
    <row r="23" spans="1:9" x14ac:dyDescent="0.2">
      <c r="A23" s="5"/>
      <c r="B23" t="s">
        <v>12</v>
      </c>
      <c r="C23">
        <v>0.95586527293844359</v>
      </c>
      <c r="D23">
        <v>0.95833333333333337</v>
      </c>
      <c r="E23" t="s">
        <v>29</v>
      </c>
      <c r="F23" t="s">
        <v>83</v>
      </c>
      <c r="G23">
        <v>0.97499999999999998</v>
      </c>
      <c r="H23">
        <v>0.84515425472851657</v>
      </c>
      <c r="I23" s="8"/>
    </row>
    <row r="24" spans="1:9" x14ac:dyDescent="0.2">
      <c r="A24" s="5"/>
      <c r="B24" t="s">
        <v>13</v>
      </c>
      <c r="C24">
        <v>0.90476190476190477</v>
      </c>
      <c r="D24">
        <v>0.91666666666666663</v>
      </c>
      <c r="E24" t="s">
        <v>30</v>
      </c>
      <c r="F24" t="s">
        <v>84</v>
      </c>
      <c r="G24">
        <v>1</v>
      </c>
      <c r="H24">
        <v>0.67419986246324204</v>
      </c>
      <c r="I24" s="8"/>
    </row>
    <row r="25" spans="1:9" x14ac:dyDescent="0.2">
      <c r="A25" s="6"/>
      <c r="B25" t="s">
        <v>14</v>
      </c>
      <c r="C25">
        <v>0.67272727272727284</v>
      </c>
      <c r="D25">
        <v>0.625</v>
      </c>
      <c r="E25" t="s">
        <v>32</v>
      </c>
      <c r="F25" t="s">
        <v>86</v>
      </c>
      <c r="G25">
        <v>0.7</v>
      </c>
      <c r="H25">
        <v>0.261785157202368</v>
      </c>
      <c r="I25" s="8"/>
    </row>
    <row r="26" spans="1:9" x14ac:dyDescent="0.2">
      <c r="A26" s="4" t="s">
        <v>126</v>
      </c>
      <c r="B26" t="s">
        <v>7</v>
      </c>
      <c r="C26">
        <v>1</v>
      </c>
      <c r="D26">
        <v>1</v>
      </c>
      <c r="E26" t="s">
        <v>33</v>
      </c>
      <c r="F26" t="s">
        <v>87</v>
      </c>
      <c r="G26">
        <v>1</v>
      </c>
      <c r="H26">
        <v>1</v>
      </c>
      <c r="I26" s="7" t="s">
        <v>237</v>
      </c>
    </row>
    <row r="27" spans="1:9" x14ac:dyDescent="0.2">
      <c r="A27" s="5"/>
      <c r="B27" t="s">
        <v>8</v>
      </c>
      <c r="C27">
        <v>1</v>
      </c>
      <c r="D27">
        <v>1</v>
      </c>
      <c r="E27" t="s">
        <v>33</v>
      </c>
      <c r="F27" t="s">
        <v>87</v>
      </c>
      <c r="G27">
        <v>1</v>
      </c>
      <c r="H27">
        <v>1</v>
      </c>
      <c r="I27" s="8"/>
    </row>
    <row r="28" spans="1:9" x14ac:dyDescent="0.2">
      <c r="A28" s="5"/>
      <c r="B28" t="s">
        <v>9</v>
      </c>
      <c r="C28">
        <v>0.95715323166303545</v>
      </c>
      <c r="D28">
        <v>0.96296296296296291</v>
      </c>
      <c r="E28" t="s">
        <v>34</v>
      </c>
      <c r="F28" t="s">
        <v>88</v>
      </c>
      <c r="G28">
        <v>0.75</v>
      </c>
      <c r="H28">
        <v>0.69337524528153638</v>
      </c>
      <c r="I28" s="8"/>
    </row>
    <row r="29" spans="1:9" x14ac:dyDescent="0.2">
      <c r="A29" s="5"/>
      <c r="B29" t="s">
        <v>10</v>
      </c>
      <c r="C29">
        <v>0.8988662131519275</v>
      </c>
      <c r="D29">
        <v>0.88888888888888884</v>
      </c>
      <c r="E29" t="s">
        <v>35</v>
      </c>
      <c r="F29" t="s">
        <v>89</v>
      </c>
      <c r="G29">
        <v>0.92</v>
      </c>
      <c r="H29">
        <v>0.35</v>
      </c>
      <c r="I29" s="8"/>
    </row>
    <row r="30" spans="1:9" x14ac:dyDescent="0.2">
      <c r="A30" s="5"/>
      <c r="B30" t="s">
        <v>11</v>
      </c>
      <c r="C30">
        <v>0.95715323166303545</v>
      </c>
      <c r="D30">
        <v>0.96296296296296291</v>
      </c>
      <c r="E30" t="s">
        <v>34</v>
      </c>
      <c r="F30" t="s">
        <v>88</v>
      </c>
      <c r="G30">
        <v>0.75</v>
      </c>
      <c r="H30">
        <v>0.69337524528153638</v>
      </c>
      <c r="I30" s="8"/>
    </row>
    <row r="31" spans="1:9" x14ac:dyDescent="0.2">
      <c r="A31" s="5"/>
      <c r="B31" t="s">
        <v>12</v>
      </c>
      <c r="C31">
        <v>1</v>
      </c>
      <c r="D31">
        <v>1</v>
      </c>
      <c r="E31" t="s">
        <v>33</v>
      </c>
      <c r="F31" t="s">
        <v>87</v>
      </c>
      <c r="G31">
        <v>1</v>
      </c>
      <c r="H31">
        <v>1</v>
      </c>
      <c r="I31" s="8"/>
    </row>
    <row r="32" spans="1:9" x14ac:dyDescent="0.2">
      <c r="A32" s="5"/>
      <c r="B32" t="s">
        <v>13</v>
      </c>
      <c r="C32">
        <v>0.95715323166303545</v>
      </c>
      <c r="D32">
        <v>0.96296296296296291</v>
      </c>
      <c r="E32" t="s">
        <v>34</v>
      </c>
      <c r="F32" t="s">
        <v>88</v>
      </c>
      <c r="G32">
        <v>1</v>
      </c>
      <c r="H32">
        <v>0.69337524528153638</v>
      </c>
      <c r="I32" s="8"/>
    </row>
    <row r="33" spans="1:9" x14ac:dyDescent="0.2">
      <c r="A33" s="6"/>
      <c r="B33" t="s">
        <v>14</v>
      </c>
      <c r="C33">
        <v>0.88244766505636085</v>
      </c>
      <c r="D33">
        <v>0.85185185185185186</v>
      </c>
      <c r="E33" t="s">
        <v>36</v>
      </c>
      <c r="F33" t="s">
        <v>90</v>
      </c>
      <c r="G33">
        <v>0.9</v>
      </c>
      <c r="H33">
        <v>0.52915026221291817</v>
      </c>
      <c r="I33" s="8"/>
    </row>
    <row r="34" spans="1:9" x14ac:dyDescent="0.2">
      <c r="A34" s="4" t="s">
        <v>127</v>
      </c>
      <c r="B34" t="s">
        <v>7</v>
      </c>
      <c r="C34">
        <v>0.96096112605815542</v>
      </c>
      <c r="D34">
        <v>0.96101694915254232</v>
      </c>
      <c r="E34" t="s">
        <v>37</v>
      </c>
      <c r="F34" t="s">
        <v>91</v>
      </c>
      <c r="G34">
        <v>0.99497697535008067</v>
      </c>
      <c r="H34">
        <v>0.92001345874084561</v>
      </c>
      <c r="I34" s="7" t="s">
        <v>234</v>
      </c>
    </row>
    <row r="35" spans="1:9" x14ac:dyDescent="0.2">
      <c r="A35" s="5"/>
      <c r="B35" t="s">
        <v>8</v>
      </c>
      <c r="C35">
        <v>0.94741346409786353</v>
      </c>
      <c r="D35">
        <v>0.94745762711864412</v>
      </c>
      <c r="E35" t="s">
        <v>38</v>
      </c>
      <c r="F35" t="s">
        <v>92</v>
      </c>
      <c r="G35">
        <v>0.94533559457772443</v>
      </c>
      <c r="H35">
        <v>0.8921697470344504</v>
      </c>
      <c r="I35" s="8"/>
    </row>
    <row r="36" spans="1:9" x14ac:dyDescent="0.2">
      <c r="A36" s="5"/>
      <c r="B36" t="s">
        <v>9</v>
      </c>
      <c r="C36">
        <v>0.95414354396454337</v>
      </c>
      <c r="D36">
        <v>0.95423728813559328</v>
      </c>
      <c r="E36" t="s">
        <v>39</v>
      </c>
      <c r="F36" t="s">
        <v>93</v>
      </c>
      <c r="G36">
        <v>0.95251386778786706</v>
      </c>
      <c r="H36">
        <v>0.90610664597212776</v>
      </c>
      <c r="I36" s="8"/>
    </row>
    <row r="37" spans="1:9" x14ac:dyDescent="0.2">
      <c r="A37" s="5"/>
      <c r="B37" t="s">
        <v>10</v>
      </c>
      <c r="C37">
        <v>0.9525914540926339</v>
      </c>
      <c r="D37">
        <v>0.9525423728813559</v>
      </c>
      <c r="E37" t="s">
        <v>40</v>
      </c>
      <c r="F37" t="s">
        <v>94</v>
      </c>
      <c r="G37">
        <v>0.98386507908466714</v>
      </c>
      <c r="H37">
        <v>0.90301656433027799</v>
      </c>
      <c r="I37" s="8"/>
    </row>
    <row r="38" spans="1:9" x14ac:dyDescent="0.2">
      <c r="A38" s="5"/>
      <c r="B38" t="s">
        <v>11</v>
      </c>
      <c r="C38">
        <v>0.96773064204912307</v>
      </c>
      <c r="D38">
        <v>0.96779661016949148</v>
      </c>
      <c r="E38" t="s">
        <v>41</v>
      </c>
      <c r="F38" t="s">
        <v>95</v>
      </c>
      <c r="G38">
        <v>0.96509792837037311</v>
      </c>
      <c r="H38">
        <v>0.93401523207656534</v>
      </c>
      <c r="I38" s="8"/>
    </row>
    <row r="39" spans="1:9" x14ac:dyDescent="0.2">
      <c r="A39" s="5"/>
      <c r="B39" t="s">
        <v>12</v>
      </c>
      <c r="C39">
        <v>0.96100626889610252</v>
      </c>
      <c r="D39">
        <v>0.96101694915254232</v>
      </c>
      <c r="E39" t="s">
        <v>42</v>
      </c>
      <c r="F39" t="s">
        <v>96</v>
      </c>
      <c r="G39">
        <v>0.98838756786677506</v>
      </c>
      <c r="H39">
        <v>0.92005316507557677</v>
      </c>
      <c r="I39" s="8"/>
    </row>
    <row r="40" spans="1:9" x14ac:dyDescent="0.2">
      <c r="A40" s="5"/>
      <c r="B40" t="s">
        <v>13</v>
      </c>
      <c r="C40">
        <v>0.93694251239897575</v>
      </c>
      <c r="D40">
        <v>0.93728813559322033</v>
      </c>
      <c r="E40" t="s">
        <v>43</v>
      </c>
      <c r="F40" t="s">
        <v>97</v>
      </c>
      <c r="G40">
        <v>0.97088647846518039</v>
      </c>
      <c r="H40">
        <v>0.87180609757367189</v>
      </c>
      <c r="I40" s="8"/>
    </row>
    <row r="41" spans="1:9" x14ac:dyDescent="0.2">
      <c r="A41" s="6"/>
      <c r="B41" t="s">
        <v>14</v>
      </c>
      <c r="C41">
        <v>0.77288135593220342</v>
      </c>
      <c r="D41">
        <v>0.77288135593220342</v>
      </c>
      <c r="E41" t="s">
        <v>44</v>
      </c>
      <c r="F41" t="s">
        <v>98</v>
      </c>
      <c r="G41">
        <v>0.76936484942703365</v>
      </c>
      <c r="H41">
        <v>0.53444275636269423</v>
      </c>
      <c r="I41" s="8"/>
    </row>
    <row r="42" spans="1:9" x14ac:dyDescent="0.2">
      <c r="A42" s="4" t="s">
        <v>531</v>
      </c>
      <c r="B42" t="s">
        <v>7</v>
      </c>
      <c r="C42">
        <v>0.96198771217415446</v>
      </c>
      <c r="D42">
        <v>0.96200607902735558</v>
      </c>
      <c r="E42" t="s">
        <v>45</v>
      </c>
      <c r="F42" t="s">
        <v>99</v>
      </c>
      <c r="G42">
        <v>0.99410183664327312</v>
      </c>
      <c r="H42">
        <v>0.92320813642720057</v>
      </c>
      <c r="I42" s="7" t="s">
        <v>238</v>
      </c>
    </row>
    <row r="43" spans="1:9" x14ac:dyDescent="0.2">
      <c r="A43" s="5"/>
      <c r="B43" t="s">
        <v>8</v>
      </c>
      <c r="C43">
        <v>0.92675683959143118</v>
      </c>
      <c r="D43">
        <v>0.92705167173252279</v>
      </c>
      <c r="E43" t="s">
        <v>46</v>
      </c>
      <c r="F43" t="s">
        <v>100</v>
      </c>
      <c r="G43">
        <v>0.9232305509929819</v>
      </c>
      <c r="H43">
        <v>0.85333768196784909</v>
      </c>
      <c r="I43" s="8"/>
    </row>
    <row r="44" spans="1:9" x14ac:dyDescent="0.2">
      <c r="A44" s="5"/>
      <c r="B44" t="s">
        <v>9</v>
      </c>
      <c r="C44">
        <v>0.94380895208130844</v>
      </c>
      <c r="D44">
        <v>0.94376899696048633</v>
      </c>
      <c r="E44" t="s">
        <v>47</v>
      </c>
      <c r="F44" t="s">
        <v>101</v>
      </c>
      <c r="G44">
        <v>0.94788711363296996</v>
      </c>
      <c r="H44">
        <v>0.88667386815151528</v>
      </c>
      <c r="I44" s="8"/>
    </row>
    <row r="45" spans="1:9" x14ac:dyDescent="0.2">
      <c r="A45" s="5"/>
      <c r="B45" t="s">
        <v>10</v>
      </c>
      <c r="C45">
        <v>0.95136778115501519</v>
      </c>
      <c r="D45">
        <v>0.95136778115501519</v>
      </c>
      <c r="E45" t="s">
        <v>48</v>
      </c>
      <c r="F45" t="s">
        <v>102</v>
      </c>
      <c r="G45">
        <v>0.97414887262953564</v>
      </c>
      <c r="H45">
        <v>0.90174705091832164</v>
      </c>
      <c r="I45" s="8"/>
    </row>
    <row r="46" spans="1:9" x14ac:dyDescent="0.2">
      <c r="A46" s="5"/>
      <c r="B46" t="s">
        <v>11</v>
      </c>
      <c r="C46">
        <v>0.96655473388253776</v>
      </c>
      <c r="D46">
        <v>0.96656534954407292</v>
      </c>
      <c r="E46" t="s">
        <v>49</v>
      </c>
      <c r="F46" t="s">
        <v>103</v>
      </c>
      <c r="G46">
        <v>0.9659175750335971</v>
      </c>
      <c r="H46">
        <v>0.93242706783080453</v>
      </c>
      <c r="I46" s="8"/>
    </row>
    <row r="47" spans="1:9" x14ac:dyDescent="0.2">
      <c r="A47" s="5"/>
      <c r="B47" t="s">
        <v>12</v>
      </c>
      <c r="C47">
        <v>0.95743329766868435</v>
      </c>
      <c r="D47">
        <v>0.95744680851063835</v>
      </c>
      <c r="E47" t="s">
        <v>50</v>
      </c>
      <c r="F47" t="s">
        <v>104</v>
      </c>
      <c r="G47">
        <v>0.98089629684933555</v>
      </c>
      <c r="H47">
        <v>0.9139929376339252</v>
      </c>
      <c r="I47" s="8"/>
    </row>
    <row r="48" spans="1:9" x14ac:dyDescent="0.2">
      <c r="A48" s="5"/>
      <c r="B48" t="s">
        <v>13</v>
      </c>
      <c r="C48">
        <v>0.92384554303395405</v>
      </c>
      <c r="D48">
        <v>0.92401215805471126</v>
      </c>
      <c r="E48" t="s">
        <v>51</v>
      </c>
      <c r="F48" t="s">
        <v>105</v>
      </c>
      <c r="G48">
        <v>0.97373824100343431</v>
      </c>
      <c r="H48">
        <v>0.8464893417234497</v>
      </c>
      <c r="I48" s="8"/>
    </row>
    <row r="49" spans="1:9" x14ac:dyDescent="0.2">
      <c r="A49" s="6"/>
      <c r="B49" t="s">
        <v>14</v>
      </c>
      <c r="C49">
        <v>0.72970755463775838</v>
      </c>
      <c r="D49">
        <v>0.73100303951367784</v>
      </c>
      <c r="E49" t="s">
        <v>52</v>
      </c>
      <c r="F49" t="s">
        <v>106</v>
      </c>
      <c r="G49">
        <v>0.73118560549499767</v>
      </c>
      <c r="H49">
        <v>0.45381061396510802</v>
      </c>
      <c r="I49" s="8"/>
    </row>
    <row r="50" spans="1:9" x14ac:dyDescent="0.2">
      <c r="A50" s="4" t="s">
        <v>129</v>
      </c>
      <c r="B50" t="s">
        <v>7</v>
      </c>
      <c r="C50">
        <v>0.91010884456478358</v>
      </c>
      <c r="D50">
        <v>0.90977443609022557</v>
      </c>
      <c r="E50" t="s">
        <v>53</v>
      </c>
      <c r="F50" t="s">
        <v>107</v>
      </c>
      <c r="G50">
        <v>0.98108433734939759</v>
      </c>
      <c r="H50">
        <v>0.8096371797550308</v>
      </c>
      <c r="I50" s="7" t="s">
        <v>239</v>
      </c>
    </row>
    <row r="51" spans="1:9" x14ac:dyDescent="0.2">
      <c r="A51" s="5"/>
      <c r="B51" t="s">
        <v>8</v>
      </c>
      <c r="C51">
        <v>0.86408623599815859</v>
      </c>
      <c r="D51">
        <v>0.86466165413533835</v>
      </c>
      <c r="E51" t="s">
        <v>54</v>
      </c>
      <c r="F51" t="s">
        <v>108</v>
      </c>
      <c r="G51">
        <v>0.85180722891566274</v>
      </c>
      <c r="H51">
        <v>0.70962469659428895</v>
      </c>
      <c r="I51" s="8"/>
    </row>
    <row r="52" spans="1:9" x14ac:dyDescent="0.2">
      <c r="A52" s="5"/>
      <c r="B52" t="s">
        <v>9</v>
      </c>
      <c r="C52">
        <v>0.85741717028845754</v>
      </c>
      <c r="D52">
        <v>0.8571428571428571</v>
      </c>
      <c r="E52" t="s">
        <v>55</v>
      </c>
      <c r="F52" t="s">
        <v>109</v>
      </c>
      <c r="G52">
        <v>0.84975903614457826</v>
      </c>
      <c r="H52">
        <v>0.6968366323393993</v>
      </c>
      <c r="I52" s="8"/>
    </row>
    <row r="53" spans="1:9" x14ac:dyDescent="0.2">
      <c r="A53" s="5"/>
      <c r="B53" t="s">
        <v>10</v>
      </c>
      <c r="C53">
        <v>0.85867110025106852</v>
      </c>
      <c r="D53">
        <v>0.8571428571428571</v>
      </c>
      <c r="E53" t="s">
        <v>56</v>
      </c>
      <c r="F53" t="s">
        <v>110</v>
      </c>
      <c r="G53">
        <v>0.92963855421686747</v>
      </c>
      <c r="H53">
        <v>0.7080149296181889</v>
      </c>
      <c r="I53" s="8"/>
    </row>
    <row r="54" spans="1:9" x14ac:dyDescent="0.2">
      <c r="A54" s="5"/>
      <c r="B54" t="s">
        <v>11</v>
      </c>
      <c r="C54">
        <v>0.94007256304318909</v>
      </c>
      <c r="D54">
        <v>0.93984962406015038</v>
      </c>
      <c r="E54" t="s">
        <v>57</v>
      </c>
      <c r="F54" t="s">
        <v>111</v>
      </c>
      <c r="G54">
        <v>0.9398795180722892</v>
      </c>
      <c r="H54">
        <v>0.87326007187167431</v>
      </c>
      <c r="I54" s="8"/>
    </row>
    <row r="55" spans="1:9" x14ac:dyDescent="0.2">
      <c r="A55" s="5"/>
      <c r="B55" t="s">
        <v>12</v>
      </c>
      <c r="C55">
        <v>0.93269357800959007</v>
      </c>
      <c r="D55">
        <v>0.93233082706766912</v>
      </c>
      <c r="E55" t="s">
        <v>58</v>
      </c>
      <c r="F55" t="s">
        <v>112</v>
      </c>
      <c r="G55">
        <v>0.96602409638554221</v>
      </c>
      <c r="H55">
        <v>0.8584522529040427</v>
      </c>
      <c r="I55" s="8"/>
    </row>
    <row r="56" spans="1:9" x14ac:dyDescent="0.2">
      <c r="A56" s="5"/>
      <c r="B56" t="s">
        <v>13</v>
      </c>
      <c r="C56">
        <v>0.92372383209384179</v>
      </c>
      <c r="D56">
        <v>0.92481203007518797</v>
      </c>
      <c r="E56" t="s">
        <v>59</v>
      </c>
      <c r="F56" t="s">
        <v>113</v>
      </c>
      <c r="G56">
        <v>0.96530120481927706</v>
      </c>
      <c r="H56">
        <v>0.83992704194480328</v>
      </c>
      <c r="I56" s="8"/>
    </row>
    <row r="57" spans="1:9" x14ac:dyDescent="0.2">
      <c r="A57" s="6"/>
      <c r="B57" t="s">
        <v>14</v>
      </c>
      <c r="C57">
        <v>0.807533607265989</v>
      </c>
      <c r="D57">
        <v>0.80451127819548873</v>
      </c>
      <c r="E57" t="s">
        <v>60</v>
      </c>
      <c r="F57" t="s">
        <v>114</v>
      </c>
      <c r="G57">
        <v>0.87156626506024093</v>
      </c>
      <c r="H57">
        <v>0.63462075201052748</v>
      </c>
      <c r="I57" s="8"/>
    </row>
    <row r="58" spans="1:9" x14ac:dyDescent="0.2">
      <c r="A58" s="4" t="s">
        <v>130</v>
      </c>
      <c r="B58" t="s">
        <v>7</v>
      </c>
      <c r="C58">
        <v>0.95027202111145848</v>
      </c>
      <c r="D58">
        <v>0.95028409090909094</v>
      </c>
      <c r="E58" t="s">
        <v>61</v>
      </c>
      <c r="F58" t="s">
        <v>115</v>
      </c>
      <c r="G58">
        <v>0.99245893479342961</v>
      </c>
      <c r="H58">
        <v>0.89774789283138556</v>
      </c>
      <c r="I58" s="7" t="s">
        <v>240</v>
      </c>
    </row>
    <row r="59" spans="1:9" x14ac:dyDescent="0.2">
      <c r="A59" s="5"/>
      <c r="B59" t="s">
        <v>8</v>
      </c>
      <c r="C59">
        <v>0.93471968793659965</v>
      </c>
      <c r="D59">
        <v>0.93465909090909094</v>
      </c>
      <c r="E59" t="s">
        <v>62</v>
      </c>
      <c r="F59" t="s">
        <v>116</v>
      </c>
      <c r="G59">
        <v>0.93379790940766549</v>
      </c>
      <c r="H59">
        <v>0.86598804199927326</v>
      </c>
      <c r="I59" s="8"/>
    </row>
    <row r="60" spans="1:9" x14ac:dyDescent="0.2">
      <c r="A60" s="5"/>
      <c r="B60" t="s">
        <v>9</v>
      </c>
      <c r="C60">
        <v>0.91776072082280136</v>
      </c>
      <c r="D60">
        <v>0.91761363636363635</v>
      </c>
      <c r="E60" t="s">
        <v>63</v>
      </c>
      <c r="F60" t="s">
        <v>117</v>
      </c>
      <c r="G60">
        <v>0.93406338145014101</v>
      </c>
      <c r="H60">
        <v>0.8315034998509796</v>
      </c>
      <c r="I60" s="8"/>
    </row>
    <row r="61" spans="1:9" x14ac:dyDescent="0.2">
      <c r="A61" s="5"/>
      <c r="B61" t="s">
        <v>10</v>
      </c>
      <c r="C61">
        <v>0.94604822728968008</v>
      </c>
      <c r="D61">
        <v>0.94602272727272729</v>
      </c>
      <c r="E61" t="s">
        <v>64</v>
      </c>
      <c r="F61" t="s">
        <v>118</v>
      </c>
      <c r="G61">
        <v>0.97909407665505233</v>
      </c>
      <c r="H61">
        <v>0.88915450699309218</v>
      </c>
      <c r="I61" s="8"/>
    </row>
    <row r="62" spans="1:9" x14ac:dyDescent="0.2">
      <c r="A62" s="5"/>
      <c r="B62" t="s">
        <v>11</v>
      </c>
      <c r="C62">
        <v>0.97440631460905103</v>
      </c>
      <c r="D62">
        <v>0.97443181818181823</v>
      </c>
      <c r="E62" t="s">
        <v>65</v>
      </c>
      <c r="F62" t="s">
        <v>119</v>
      </c>
      <c r="G62">
        <v>0.97275593164094898</v>
      </c>
      <c r="H62">
        <v>0.94740005660196824</v>
      </c>
      <c r="I62" s="8"/>
    </row>
    <row r="63" spans="1:9" x14ac:dyDescent="0.2">
      <c r="A63" s="5"/>
      <c r="B63" t="s">
        <v>12</v>
      </c>
      <c r="C63">
        <v>0.9488385826325838</v>
      </c>
      <c r="D63">
        <v>0.94886363636363635</v>
      </c>
      <c r="E63" t="s">
        <v>66</v>
      </c>
      <c r="F63" t="s">
        <v>120</v>
      </c>
      <c r="G63">
        <v>0.98316741330678614</v>
      </c>
      <c r="H63">
        <v>0.89478709646624111</v>
      </c>
      <c r="I63" s="8"/>
    </row>
    <row r="64" spans="1:9" x14ac:dyDescent="0.2">
      <c r="A64" s="5"/>
      <c r="B64" t="s">
        <v>13</v>
      </c>
      <c r="C64">
        <v>0.92842576403850718</v>
      </c>
      <c r="D64">
        <v>0.92897727272727271</v>
      </c>
      <c r="E64" t="s">
        <v>67</v>
      </c>
      <c r="F64" t="s">
        <v>121</v>
      </c>
      <c r="G64">
        <v>0.96423593827775012</v>
      </c>
      <c r="H64">
        <v>0.85467057794566104</v>
      </c>
      <c r="I64" s="8"/>
    </row>
    <row r="65" spans="1:9" x14ac:dyDescent="0.2">
      <c r="A65" s="6"/>
      <c r="B65" t="s">
        <v>14</v>
      </c>
      <c r="C65">
        <v>0.76586912333991852</v>
      </c>
      <c r="D65">
        <v>0.76704545454545459</v>
      </c>
      <c r="E65" t="s">
        <v>68</v>
      </c>
      <c r="F65" t="s">
        <v>122</v>
      </c>
      <c r="G65">
        <v>0.75733781317405002</v>
      </c>
      <c r="H65">
        <v>0.51763248125561201</v>
      </c>
      <c r="I65" s="8"/>
    </row>
  </sheetData>
  <mergeCells count="16">
    <mergeCell ref="A50:A57"/>
    <mergeCell ref="A58:A65"/>
    <mergeCell ref="I2:I9"/>
    <mergeCell ref="I10:I17"/>
    <mergeCell ref="I18:I25"/>
    <mergeCell ref="I26:I33"/>
    <mergeCell ref="I34:I41"/>
    <mergeCell ref="I42:I49"/>
    <mergeCell ref="I50:I57"/>
    <mergeCell ref="I58:I65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9225-216B-C447-84F8-7889D13B2B48}">
  <dimension ref="A1:O125"/>
  <sheetViews>
    <sheetView zoomScale="115" zoomScaleNormal="115" workbookViewId="0">
      <pane xSplit="1" topLeftCell="B1" activePane="topRight" state="frozen"/>
      <selection pane="topRight" activeCell="B1" sqref="B1:B1048576"/>
    </sheetView>
  </sheetViews>
  <sheetFormatPr baseColWidth="10" defaultColWidth="8.83203125" defaultRowHeight="15" x14ac:dyDescent="0.2"/>
  <cols>
    <col min="2" max="2" width="11" customWidth="1"/>
    <col min="3" max="3" width="15.6640625" customWidth="1"/>
    <col min="4" max="4" width="14.83203125" customWidth="1"/>
    <col min="5" max="5" width="1" customWidth="1"/>
    <col min="6" max="6" width="0.1640625" hidden="1" customWidth="1"/>
    <col min="7" max="7" width="2.5" customWidth="1"/>
    <col min="8" max="8" width="2" customWidth="1"/>
    <col min="9" max="9" width="187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2">
      <c r="A2" s="4" t="s">
        <v>123</v>
      </c>
      <c r="B2" t="s">
        <v>7</v>
      </c>
      <c r="C2">
        <v>0.95631926355283881</v>
      </c>
      <c r="D2">
        <v>0.95629370629370625</v>
      </c>
      <c r="E2" t="s">
        <v>743</v>
      </c>
      <c r="F2" t="s">
        <v>742</v>
      </c>
      <c r="G2">
        <v>0.99389767925954375</v>
      </c>
      <c r="H2">
        <v>0.91156785918135108</v>
      </c>
      <c r="I2" t="str">
        <f>MID(F2,300,300)</f>
        <v>': 0.9552511867088608, 'recall': 0.9563172958975058, 'f1-score': 0.9557570038519252, 'support': 572.0}, 'weighted avg': {'precision': 0.9563979582521908, 'recall': 0.9562937062937062, 'f1-score': 0.9563192635528388, 'support': 572.0}}</v>
      </c>
    </row>
    <row r="3" spans="1:9" x14ac:dyDescent="0.2">
      <c r="A3" s="5"/>
      <c r="B3" t="s">
        <v>8</v>
      </c>
      <c r="C3">
        <v>0.93192615802552992</v>
      </c>
      <c r="D3">
        <v>0.93181818181818177</v>
      </c>
      <c r="E3" t="s">
        <v>741</v>
      </c>
      <c r="F3" t="s">
        <v>740</v>
      </c>
      <c r="G3">
        <v>0.93273817636636236</v>
      </c>
      <c r="H3">
        <v>0.86273877165168966</v>
      </c>
      <c r="I3" t="str">
        <f t="shared" ref="I3:I66" si="0">MID(F3,300,300)</f>
        <v>precision': 0.9300049248953459, 'recall': 0.9327381763663622, 'f1-score': 0.9311343325049779, 'support': 572.0}, 'weighted avg': {'precision': 0.9324981531642451, 'recall': 0.9318181818181818, 'f1-score': 0.9319261580255299, 'support': 572.0}}</v>
      </c>
    </row>
    <row r="4" spans="1:9" x14ac:dyDescent="0.2">
      <c r="A4" s="5"/>
      <c r="B4" t="s">
        <v>9</v>
      </c>
      <c r="C4">
        <v>0.95282480463706598</v>
      </c>
      <c r="D4">
        <v>0.95279720279720281</v>
      </c>
      <c r="E4" t="s">
        <v>739</v>
      </c>
      <c r="F4" t="s">
        <v>738</v>
      </c>
      <c r="G4">
        <v>0.95268068445116294</v>
      </c>
      <c r="H4">
        <v>0.90448877783764892</v>
      </c>
      <c r="I4" t="str">
        <f t="shared" si="0"/>
        <v>: 0.9517157832278481, 'recall': 0.9527736131934033, 'f1-score': 0.9522175641600792, 'support': 572.0}, 'weighted avg': {'precision': 0.9529053447541382, 'recall': 0.9527972027972028, 'f1-score': 0.952824804637066, 'support': 572.0}}</v>
      </c>
    </row>
    <row r="5" spans="1:9" x14ac:dyDescent="0.2">
      <c r="A5" s="5"/>
      <c r="B5" t="s">
        <v>10</v>
      </c>
      <c r="C5">
        <v>0.95972636985360105</v>
      </c>
      <c r="D5">
        <v>0.95979020979020979</v>
      </c>
      <c r="E5" t="s">
        <v>737</v>
      </c>
      <c r="F5" t="s">
        <v>736</v>
      </c>
      <c r="G5">
        <v>0.99416407498729975</v>
      </c>
      <c r="H5">
        <v>0.91854561649887634</v>
      </c>
      <c r="I5" t="str">
        <f t="shared" si="0"/>
        <v>recision': 0.9607337024290489, 'recall': 0.9578165462723184, 'f1-score': 0.9591244504512901, 'support': 572.0}, 'weighted avg': {'precision': 0.9599553210020068, 'recall': 0.9597902097902098, 'f1-score': 0.959726369853601, 'support': 572.0}}</v>
      </c>
    </row>
    <row r="6" spans="1:9" x14ac:dyDescent="0.2">
      <c r="A6" s="5"/>
      <c r="B6" t="s">
        <v>11</v>
      </c>
      <c r="C6">
        <v>0.33250246714224752</v>
      </c>
      <c r="D6">
        <v>0.47027972027972031</v>
      </c>
      <c r="E6" t="s">
        <v>735</v>
      </c>
      <c r="F6" t="s">
        <v>734</v>
      </c>
      <c r="G6">
        <v>0.52466948344009812</v>
      </c>
      <c r="H6">
        <v>0.14036360657033781</v>
      </c>
      <c r="I6" t="str">
        <f t="shared" si="0"/>
        <v xml:space="preserve"> {'precision': 0.6996590453269154, 'recall': 0.5246694834400981, 'f1-score': 0.36271276185013185, 'support': 572.0}, 'weighted avg': {'precision': 0.727903514455861, 'recall': 0.47027972027972026, 'f1-score': 0.33250246714224746, 'support': 572.0}}</v>
      </c>
    </row>
    <row r="7" spans="1:9" x14ac:dyDescent="0.2">
      <c r="A7" s="5"/>
      <c r="B7" t="s">
        <v>12</v>
      </c>
      <c r="C7">
        <v>0.9527451855470781</v>
      </c>
      <c r="D7">
        <v>0.95279720279720281</v>
      </c>
      <c r="E7" t="s">
        <v>733</v>
      </c>
      <c r="F7" t="s">
        <v>732</v>
      </c>
      <c r="G7">
        <v>0.99138860321905165</v>
      </c>
      <c r="H7">
        <v>0.90426709332998678</v>
      </c>
      <c r="I7" t="str">
        <f t="shared" si="0"/>
        <v>precision': 0.95313122262047, 'recall': 0.9511380673299714, 'f1-score': 0.952058557845429, 'support': 572.0}, 'weighted avg': {'precision': 0.9528411527739485, 'recall': 0.9527972027972028, 'f1-score': 0.9527451855470781, 'support': 572.0}}</v>
      </c>
    </row>
    <row r="8" spans="1:9" x14ac:dyDescent="0.2">
      <c r="A8" s="5"/>
      <c r="B8" t="s">
        <v>13</v>
      </c>
      <c r="C8">
        <v>0.95796474777414031</v>
      </c>
      <c r="D8">
        <v>0.95804195804195802</v>
      </c>
      <c r="E8" t="s">
        <v>731</v>
      </c>
      <c r="F8" t="s">
        <v>730</v>
      </c>
      <c r="G8">
        <v>0.99376757902040713</v>
      </c>
      <c r="H8">
        <v>0.91504269960507689</v>
      </c>
      <c r="I8" t="str">
        <f t="shared" si="0"/>
        <v>recision': 0.9592086375834739, 'recall': 0.9558402616873382, 'f1-score': 0.9573277630646426, 'support': 572.0}, 'weighted avg': {'precision': 0.9582696028305464, 'recall': 0.958041958041958, 'f1-score': 0.9579647477741403, 'support': 572.0}}</v>
      </c>
    </row>
    <row r="9" spans="1:9" x14ac:dyDescent="0.2">
      <c r="A9" s="6"/>
      <c r="B9" t="s">
        <v>14</v>
      </c>
      <c r="C9">
        <v>0.7948000112169451</v>
      </c>
      <c r="D9">
        <v>0.79545454545454541</v>
      </c>
      <c r="E9" t="s">
        <v>729</v>
      </c>
      <c r="F9" t="s">
        <v>728</v>
      </c>
      <c r="G9">
        <v>0.79374155897257981</v>
      </c>
      <c r="H9">
        <v>0.58379993140149056</v>
      </c>
      <c r="I9" t="str">
        <f t="shared" si="0"/>
        <v>precision': 0.7937751004016065, 'recall': 0.7900367997819273, 'f1-score': 0.7914769912414354, 'support': 572.0}, 'weighted avg': {'precision': 0.794979919678715, 'recall': 0.7954545454545454, 'f1-score': 0.7948000112169451, 'support': 572.0}}</v>
      </c>
    </row>
    <row r="10" spans="1:9" x14ac:dyDescent="0.2">
      <c r="A10" s="4" t="s">
        <v>124</v>
      </c>
      <c r="B10" t="s">
        <v>7</v>
      </c>
      <c r="C10">
        <v>0.90578231292516997</v>
      </c>
      <c r="D10">
        <v>0.90476190476190477</v>
      </c>
      <c r="E10" t="s">
        <v>24</v>
      </c>
      <c r="F10" t="s">
        <v>78</v>
      </c>
      <c r="G10">
        <v>0.99894736842105269</v>
      </c>
      <c r="H10">
        <v>0.8240856434303292</v>
      </c>
      <c r="I10" t="str">
        <f t="shared" si="0"/>
        <v>'recall': 0.9210526315789473, 'f1-score': 0.9035714285714285, 'support': 63.0}, 'weighted avg': {'precision': 0.923195084485407, 'recall': 0.9047619047619048, 'f1-score': 0.90578231292517, 'support': 63.0}}</v>
      </c>
    </row>
    <row r="11" spans="1:9" x14ac:dyDescent="0.2">
      <c r="A11" s="5"/>
      <c r="B11" t="s">
        <v>8</v>
      </c>
      <c r="C11">
        <v>0.88923747276688447</v>
      </c>
      <c r="D11">
        <v>0.88888888888888884</v>
      </c>
      <c r="E11" t="s">
        <v>727</v>
      </c>
      <c r="F11" t="s">
        <v>726</v>
      </c>
      <c r="G11">
        <v>0.88736842105263158</v>
      </c>
      <c r="H11">
        <v>0.76988964013890715</v>
      </c>
      <c r="I11" t="str">
        <f t="shared" si="0"/>
        <v>5363825363826, 'recall': 0.8873684210526316, 'f1-score': 0.8847058823529412, 'support': 63.0}, 'weighted avg': {'precision': 0.8900438900438901, 'recall': 0.8888888888888888, 'f1-score': 0.8892374727668845, 'support': 63.0}}</v>
      </c>
    </row>
    <row r="12" spans="1:9" x14ac:dyDescent="0.2">
      <c r="A12" s="5"/>
      <c r="B12" t="s">
        <v>9</v>
      </c>
      <c r="C12">
        <v>0.96825396825396826</v>
      </c>
      <c r="D12">
        <v>0.96825396825396826</v>
      </c>
      <c r="E12" t="s">
        <v>25</v>
      </c>
      <c r="F12" t="s">
        <v>79</v>
      </c>
      <c r="G12">
        <v>0.96578947368421053</v>
      </c>
      <c r="H12">
        <v>0.93368421052631578</v>
      </c>
      <c r="I12" t="str">
        <f t="shared" si="0"/>
        <v>66842105263158, 'f1-score': 0.966842105263158, 'support': 63.0}, 'weighted avg': {'precision': 0.9682539682539683, 'recall': 0.9682539682539683, 'f1-score': 0.9682539682539683, 'support': 63.0}}</v>
      </c>
    </row>
    <row r="13" spans="1:9" x14ac:dyDescent="0.2">
      <c r="A13" s="5"/>
      <c r="B13" t="s">
        <v>10</v>
      </c>
      <c r="C13">
        <v>0.98417678182384061</v>
      </c>
      <c r="D13">
        <v>0.98412698412698407</v>
      </c>
      <c r="E13" t="s">
        <v>725</v>
      </c>
      <c r="F13" t="s">
        <v>724</v>
      </c>
      <c r="G13">
        <v>1</v>
      </c>
      <c r="H13">
        <v>0.96759227870718623</v>
      </c>
      <c r="I13" t="str">
        <f t="shared" si="0"/>
        <v>'recall': 0.986842105263158, 'f1-score': 0.9835294117647058, 'support': 63.0}, 'weighted avg': {'precision': 0.9847374847374848, 'recall': 0.9841269841269841, 'f1-score': 0.9841767818238406, 'support': 63.0}}</v>
      </c>
    </row>
    <row r="14" spans="1:9" x14ac:dyDescent="0.2">
      <c r="A14" s="5"/>
      <c r="B14" t="s">
        <v>11</v>
      </c>
      <c r="C14">
        <v>0.22546897546897551</v>
      </c>
      <c r="D14">
        <v>0.3968253968253968</v>
      </c>
      <c r="E14" t="s">
        <v>723</v>
      </c>
      <c r="F14" t="s">
        <v>722</v>
      </c>
      <c r="G14">
        <v>0.5</v>
      </c>
      <c r="H14">
        <v>0</v>
      </c>
      <c r="I14" t="str">
        <f t="shared" si="0"/>
        <v>840909090909091, 'support': 63.0}, 'weighted avg': {'precision': 0.15747039556563366, 'recall': 0.3968253968253968, 'f1-score': 0.22546897546897549, 'support': 63.0}}</v>
      </c>
    </row>
    <row r="15" spans="1:9" x14ac:dyDescent="0.2">
      <c r="A15" s="5"/>
      <c r="B15" t="s">
        <v>12</v>
      </c>
      <c r="C15">
        <v>0.77699372759856633</v>
      </c>
      <c r="D15">
        <v>0.77777777777777779</v>
      </c>
      <c r="E15" t="s">
        <v>721</v>
      </c>
      <c r="F15" t="s">
        <v>720</v>
      </c>
      <c r="G15">
        <v>1</v>
      </c>
      <c r="H15">
        <v>0.63628476297577774</v>
      </c>
      <c r="I15" t="str">
        <f t="shared" si="0"/>
        <v>recall': 0.8157894736842105, 'f1-score': 0.7777217741935485, 'support': 63.0}, 'weighted avg': {'precision': 0.8575498575498575, 'recall': 0.7777777777777778, 'f1-score': 0.7769937275985663, 'support': 63.0}}</v>
      </c>
    </row>
    <row r="16" spans="1:9" x14ac:dyDescent="0.2">
      <c r="A16" s="5"/>
      <c r="B16" t="s">
        <v>13</v>
      </c>
      <c r="C16">
        <v>0.96843546843546846</v>
      </c>
      <c r="D16">
        <v>0.96825396825396826</v>
      </c>
      <c r="E16" t="s">
        <v>719</v>
      </c>
      <c r="F16" t="s">
        <v>718</v>
      </c>
      <c r="G16">
        <v>1</v>
      </c>
      <c r="H16">
        <v>0.93658581158169396</v>
      </c>
      <c r="I16" t="str">
        <f t="shared" si="0"/>
        <v>ecall': 0.9736842105263157, 'f1-score': 0.9672557172557172, 'support': 63.0}, 'weighted avg': {'precision': 0.9706055261610818, 'recall': 0.9682539682539683, 'f1-score': 0.9684354684354685, 'support': 63.0}}</v>
      </c>
    </row>
    <row r="17" spans="1:9" x14ac:dyDescent="0.2">
      <c r="A17" s="6"/>
      <c r="B17" t="s">
        <v>14</v>
      </c>
      <c r="C17">
        <v>0.95253034547152182</v>
      </c>
      <c r="D17">
        <v>0.95238095238095233</v>
      </c>
      <c r="E17" t="s">
        <v>717</v>
      </c>
      <c r="F17" t="s">
        <v>716</v>
      </c>
      <c r="G17">
        <v>0.97105263157894739</v>
      </c>
      <c r="H17">
        <v>0.90169139918442653</v>
      </c>
      <c r="I17" t="str">
        <f t="shared" si="0"/>
        <v>0249480249481, 'recall': 0.9536842105263157, 'f1-score': 0.9505882352941175, 'support': 63.0}, 'weighted avg': {'precision': 0.9531729531729531, 'recall': 0.9523809523809523, 'f1-score': 0.9525303454715218, 'support': 63.0}}</v>
      </c>
    </row>
    <row r="18" spans="1:9" x14ac:dyDescent="0.2">
      <c r="A18" s="4" t="s">
        <v>125</v>
      </c>
      <c r="B18" t="s">
        <v>7</v>
      </c>
      <c r="C18">
        <v>0.95586527293844359</v>
      </c>
      <c r="D18">
        <v>0.95833333333333337</v>
      </c>
      <c r="E18" t="s">
        <v>29</v>
      </c>
      <c r="F18" t="s">
        <v>83</v>
      </c>
      <c r="G18">
        <v>1</v>
      </c>
      <c r="H18">
        <v>0.84515425472851657</v>
      </c>
      <c r="I18" t="str">
        <f t="shared" si="0"/>
        <v xml:space="preserve"> 'f1-score': 0.9163763066202091, 'support': 24.0}, 'weighted avg': {'precision': 0.9603174603174603, 'recall': 0.9583333333333334, 'f1-score': 0.9558652729384436, 'support': 24.0}}</v>
      </c>
    </row>
    <row r="19" spans="1:9" x14ac:dyDescent="0.2">
      <c r="A19" s="5"/>
      <c r="B19" t="s">
        <v>8</v>
      </c>
      <c r="C19">
        <v>0.95586527293844359</v>
      </c>
      <c r="D19">
        <v>0.95833333333333337</v>
      </c>
      <c r="E19" t="s">
        <v>29</v>
      </c>
      <c r="F19" t="s">
        <v>83</v>
      </c>
      <c r="G19">
        <v>0.875</v>
      </c>
      <c r="H19">
        <v>0.84515425472851657</v>
      </c>
      <c r="I19" t="str">
        <f t="shared" si="0"/>
        <v xml:space="preserve"> 'f1-score': 0.9163763066202091, 'support': 24.0}, 'weighted avg': {'precision': 0.9603174603174603, 'recall': 0.9583333333333334, 'f1-score': 0.9558652729384436, 'support': 24.0}}</v>
      </c>
    </row>
    <row r="20" spans="1:9" x14ac:dyDescent="0.2">
      <c r="A20" s="5"/>
      <c r="B20" t="s">
        <v>9</v>
      </c>
      <c r="C20">
        <v>0.96011396011396011</v>
      </c>
      <c r="D20">
        <v>0.95833333333333337</v>
      </c>
      <c r="E20" t="s">
        <v>715</v>
      </c>
      <c r="F20" t="s">
        <v>714</v>
      </c>
      <c r="G20">
        <v>0.97499999999999998</v>
      </c>
      <c r="H20">
        <v>0.87177978870813466</v>
      </c>
      <c r="I20" t="str">
        <f t="shared" si="0"/>
        <v>6, 'support': 24.0}, 'weighted avg': {'precision': 0.9666666666666667, 'recall': 0.9583333333333334, 'f1-score': 0.9601139601139601, 'support': 24.0}}</v>
      </c>
    </row>
    <row r="21" spans="1:9" x14ac:dyDescent="0.2">
      <c r="A21" s="5"/>
      <c r="B21" t="s">
        <v>10</v>
      </c>
      <c r="C21">
        <v>1</v>
      </c>
      <c r="D21">
        <v>1</v>
      </c>
      <c r="E21" t="s">
        <v>709</v>
      </c>
      <c r="F21" t="s">
        <v>708</v>
      </c>
      <c r="G21">
        <v>1</v>
      </c>
      <c r="H21">
        <v>1</v>
      </c>
      <c r="I21" t="str">
        <f t="shared" si="0"/>
        <v>l': 1.0, 'f1-score': 1.0, 'support': 24.0}}</v>
      </c>
    </row>
    <row r="22" spans="1:9" x14ac:dyDescent="0.2">
      <c r="A22" s="5"/>
      <c r="B22" t="s">
        <v>11</v>
      </c>
      <c r="C22">
        <v>0.75757575757575746</v>
      </c>
      <c r="D22">
        <v>0.83333333333333337</v>
      </c>
      <c r="E22" t="s">
        <v>713</v>
      </c>
      <c r="F22" t="s">
        <v>712</v>
      </c>
      <c r="G22">
        <v>0.5</v>
      </c>
      <c r="H22">
        <v>0</v>
      </c>
      <c r="I22" t="str">
        <f t="shared" si="0"/>
        <v>454545454545453, 'support': 24.0}, 'weighted avg': {'precision': 0.6944444444444445, 'recall': 0.8333333333333334, 'f1-score': 0.7575757575757575, 'support': 24.0}}</v>
      </c>
    </row>
    <row r="23" spans="1:9" x14ac:dyDescent="0.2">
      <c r="A23" s="5"/>
      <c r="B23" t="s">
        <v>12</v>
      </c>
      <c r="C23">
        <v>0.84186046511627921</v>
      </c>
      <c r="D23">
        <v>0.875</v>
      </c>
      <c r="E23" t="s">
        <v>711</v>
      </c>
      <c r="F23" t="s">
        <v>710</v>
      </c>
      <c r="G23">
        <v>1</v>
      </c>
      <c r="H23">
        <v>0.46625240412015689</v>
      </c>
      <c r="I23" t="str">
        <f t="shared" si="0"/>
        <v>7674, 'support': 24.0}, 'weighted avg': {'precision': 0.8913043478260869, 'recall': 0.875, 'f1-score': 0.8418604651162792, 'support': 24.0}}</v>
      </c>
    </row>
    <row r="24" spans="1:9" x14ac:dyDescent="0.2">
      <c r="A24" s="5"/>
      <c r="B24" t="s">
        <v>13</v>
      </c>
      <c r="C24">
        <v>1</v>
      </c>
      <c r="D24">
        <v>1</v>
      </c>
      <c r="E24" t="s">
        <v>709</v>
      </c>
      <c r="F24" t="s">
        <v>708</v>
      </c>
      <c r="G24">
        <v>1</v>
      </c>
      <c r="H24">
        <v>1</v>
      </c>
      <c r="I24" t="str">
        <f t="shared" si="0"/>
        <v>l': 1.0, 'f1-score': 1.0, 'support': 24.0}}</v>
      </c>
    </row>
    <row r="25" spans="1:9" x14ac:dyDescent="0.2">
      <c r="A25" s="6"/>
      <c r="B25" t="s">
        <v>14</v>
      </c>
      <c r="C25">
        <v>0.95586527293844359</v>
      </c>
      <c r="D25">
        <v>0.95833333333333337</v>
      </c>
      <c r="E25" t="s">
        <v>29</v>
      </c>
      <c r="F25" t="s">
        <v>83</v>
      </c>
      <c r="G25">
        <v>0.875</v>
      </c>
      <c r="H25">
        <v>0.84515425472851657</v>
      </c>
      <c r="I25" t="str">
        <f t="shared" si="0"/>
        <v xml:space="preserve"> 'f1-score': 0.9163763066202091, 'support': 24.0}, 'weighted avg': {'precision': 0.9603174603174603, 'recall': 0.9583333333333334, 'f1-score': 0.9558652729384436, 'support': 24.0}}</v>
      </c>
    </row>
    <row r="26" spans="1:9" x14ac:dyDescent="0.2">
      <c r="A26" s="4" t="s">
        <v>126</v>
      </c>
      <c r="B26" t="s">
        <v>7</v>
      </c>
      <c r="C26">
        <v>0.96628873771730917</v>
      </c>
      <c r="D26">
        <v>0.96296296296296291</v>
      </c>
      <c r="E26" t="s">
        <v>703</v>
      </c>
      <c r="F26" t="s">
        <v>702</v>
      </c>
      <c r="G26">
        <v>1</v>
      </c>
      <c r="H26">
        <v>0.8</v>
      </c>
      <c r="I26" t="str">
        <f t="shared" si="0"/>
        <v>889795918367347, 'support': 27.0}, 'weighted avg': {'precision': 0.9753086419753086, 'recall': 0.9629629629629629, 'f1-score': 0.9662887377173092, 'support': 27.0}}</v>
      </c>
    </row>
    <row r="27" spans="1:9" x14ac:dyDescent="0.2">
      <c r="A27" s="5"/>
      <c r="B27" t="s">
        <v>8</v>
      </c>
      <c r="C27">
        <v>0.88244766505636085</v>
      </c>
      <c r="D27">
        <v>0.85185185185185186</v>
      </c>
      <c r="E27" t="s">
        <v>36</v>
      </c>
      <c r="F27" t="s">
        <v>90</v>
      </c>
      <c r="G27">
        <v>0.91999999999999993</v>
      </c>
      <c r="H27">
        <v>0.52915026221291817</v>
      </c>
      <c r="I27" t="str">
        <f t="shared" si="0"/>
        <v>'f1-score': 0.7065217391304348, 'support': 27.0}, 'weighted avg': {'precision': 0.9506172839506173, 'recall': 0.8518518518518519, 'f1-score': 0.8824476650563609, 'support': 27.0}}</v>
      </c>
    </row>
    <row r="28" spans="1:9" x14ac:dyDescent="0.2">
      <c r="A28" s="5"/>
      <c r="B28" t="s">
        <v>9</v>
      </c>
      <c r="C28">
        <v>0.95715323166303545</v>
      </c>
      <c r="D28">
        <v>0.96296296296296291</v>
      </c>
      <c r="E28" t="s">
        <v>34</v>
      </c>
      <c r="F28" t="s">
        <v>88</v>
      </c>
      <c r="G28">
        <v>0.75</v>
      </c>
      <c r="H28">
        <v>0.69337524528153638</v>
      </c>
      <c r="I28" t="str">
        <f t="shared" si="0"/>
        <v>'f1-score': 0.8235294117647058, 'support': 27.0}, 'weighted avg': {'precision': 0.9643874643874645, 'recall': 0.9629629629629629, 'f1-score': 0.9571532316630355, 'support': 27.0}}</v>
      </c>
    </row>
    <row r="29" spans="1:9" x14ac:dyDescent="0.2">
      <c r="A29" s="5"/>
      <c r="B29" t="s">
        <v>10</v>
      </c>
      <c r="C29">
        <v>0.93672839506172845</v>
      </c>
      <c r="D29">
        <v>0.92592592592592593</v>
      </c>
      <c r="E29" t="s">
        <v>707</v>
      </c>
      <c r="F29" t="s">
        <v>706</v>
      </c>
      <c r="G29">
        <v>1</v>
      </c>
      <c r="H29">
        <v>0.67823299831252681</v>
      </c>
      <c r="I29" t="str">
        <f t="shared" si="0"/>
        <v>': 27.0}, 'weighted avg': {'precision': 0.9629629629629629, 'recall': 0.9259259259259259, 'f1-score': 0.9367283950617284, 'support': 27.0}}</v>
      </c>
    </row>
    <row r="30" spans="1:9" ht="14" customHeight="1" x14ac:dyDescent="0.2">
      <c r="A30" s="5"/>
      <c r="B30" t="s">
        <v>11</v>
      </c>
      <c r="C30">
        <v>1.021711366538953E-2</v>
      </c>
      <c r="D30">
        <v>7.407407407407407E-2</v>
      </c>
      <c r="E30" t="s">
        <v>705</v>
      </c>
      <c r="F30" t="s">
        <v>704</v>
      </c>
      <c r="G30">
        <v>0.5</v>
      </c>
      <c r="H30">
        <v>0</v>
      </c>
      <c r="I30" t="str">
        <f t="shared" si="0"/>
        <v xml:space="preserve"> 0.06896551724137931, 'support': 27.0}, 'weighted avg': {'precision': 0.0054869684499314125, 'recall': 0.07407407407407407, 'f1-score': 0.010217113665389528, 'support': 27.0}}</v>
      </c>
    </row>
    <row r="31" spans="1:9" x14ac:dyDescent="0.2">
      <c r="A31" s="5"/>
      <c r="B31" t="s">
        <v>12</v>
      </c>
      <c r="C31">
        <v>0.95715323166303545</v>
      </c>
      <c r="D31">
        <v>0.96296296296296291</v>
      </c>
      <c r="E31" t="s">
        <v>34</v>
      </c>
      <c r="F31" t="s">
        <v>88</v>
      </c>
      <c r="G31">
        <v>0.98</v>
      </c>
      <c r="H31">
        <v>0.69337524528153638</v>
      </c>
      <c r="I31" t="str">
        <f t="shared" si="0"/>
        <v>'f1-score': 0.8235294117647058, 'support': 27.0}, 'weighted avg': {'precision': 0.9643874643874645, 'recall': 0.9629629629629629, 'f1-score': 0.9571532316630355, 'support': 27.0}}</v>
      </c>
    </row>
    <row r="32" spans="1:9" x14ac:dyDescent="0.2">
      <c r="A32" s="5"/>
      <c r="B32" t="s">
        <v>13</v>
      </c>
      <c r="C32">
        <v>0.96628873771730917</v>
      </c>
      <c r="D32">
        <v>0.96296296296296291</v>
      </c>
      <c r="E32" t="s">
        <v>703</v>
      </c>
      <c r="F32" t="s">
        <v>702</v>
      </c>
      <c r="G32">
        <v>1</v>
      </c>
      <c r="H32">
        <v>0.8</v>
      </c>
      <c r="I32" t="str">
        <f t="shared" si="0"/>
        <v>889795918367347, 'support': 27.0}, 'weighted avg': {'precision': 0.9753086419753086, 'recall': 0.9629629629629629, 'f1-score': 0.9662887377173092, 'support': 27.0}}</v>
      </c>
    </row>
    <row r="33" spans="1:15" x14ac:dyDescent="0.2">
      <c r="A33" s="6"/>
      <c r="B33" t="s">
        <v>14</v>
      </c>
      <c r="C33">
        <v>0.96628873771730917</v>
      </c>
      <c r="D33">
        <v>0.96296296296296291</v>
      </c>
      <c r="E33" t="s">
        <v>703</v>
      </c>
      <c r="F33" t="s">
        <v>702</v>
      </c>
      <c r="G33">
        <v>1</v>
      </c>
      <c r="H33">
        <v>0.8</v>
      </c>
      <c r="I33" t="str">
        <f t="shared" si="0"/>
        <v>889795918367347, 'support': 27.0}, 'weighted avg': {'precision': 0.9753086419753086, 'recall': 0.9629629629629629, 'f1-score': 0.9662887377173092, 'support': 27.0}}</v>
      </c>
    </row>
    <row r="34" spans="1:15" x14ac:dyDescent="0.2">
      <c r="A34" s="4" t="s">
        <v>127</v>
      </c>
      <c r="B34" t="s">
        <v>7</v>
      </c>
      <c r="C34">
        <v>0.95251607467730748</v>
      </c>
      <c r="D34">
        <v>0.9525423728813559</v>
      </c>
      <c r="E34" t="s">
        <v>701</v>
      </c>
      <c r="F34" t="s">
        <v>700</v>
      </c>
      <c r="G34">
        <v>0.99248607332556027</v>
      </c>
      <c r="H34">
        <v>0.90263570144627781</v>
      </c>
      <c r="I34" t="str">
        <f t="shared" si="0"/>
        <v>recision': 0.9518183213134878, 'recall': 0.9508179344945766, 'f1-score': 0.9513063572910772, 'support': 590.0}, 'weighted avg': {'precision': 0.9525122040660281, 'recall': 0.9525423728813559, 'f1-score': 0.9525160746773075, 'support': 590.0}}</v>
      </c>
    </row>
    <row r="35" spans="1:15" x14ac:dyDescent="0.2">
      <c r="A35" s="5"/>
      <c r="B35" t="s">
        <v>8</v>
      </c>
      <c r="C35">
        <v>0.94246015826850249</v>
      </c>
      <c r="D35">
        <v>0.94237288135593222</v>
      </c>
      <c r="E35" t="s">
        <v>699</v>
      </c>
      <c r="F35" t="s">
        <v>698</v>
      </c>
      <c r="G35">
        <v>0.94256203700432228</v>
      </c>
      <c r="H35">
        <v>0.8824467792443067</v>
      </c>
      <c r="I35" t="str">
        <f t="shared" si="0"/>
        <v>precision': 0.9398887913374305, 'recall': 0.9425620370043223, 'f1-score': 0.9411219122757584, 'support': 590.0}, 'weighted avg': {'precision': 0.9427454948587075, 'recall': 0.9423728813559322, 'f1-score': 0.9424601582685025, 'support': 590.0}}</v>
      </c>
    </row>
    <row r="36" spans="1:15" x14ac:dyDescent="0.2">
      <c r="A36" s="5"/>
      <c r="B36" t="s">
        <v>9</v>
      </c>
      <c r="C36">
        <v>0.94413924534310312</v>
      </c>
      <c r="D36">
        <v>0.94406779661016949</v>
      </c>
      <c r="E36" t="s">
        <v>697</v>
      </c>
      <c r="F36" t="s">
        <v>696</v>
      </c>
      <c r="G36">
        <v>0.94496460916981706</v>
      </c>
      <c r="H36">
        <v>0.88579051323454372</v>
      </c>
      <c r="I36" t="str">
        <f t="shared" si="0"/>
        <v>precision': 0.9417650918635171, 'recall': 0.9440283126641463, 'f1-score': 0.9428245886571267, 'support': 590.0}, 'weighted avg': {'precision': 0.9443486142622003, 'recall': 0.9440677966101695, 'f1-score': 0.9441392453431031, 'support': 590.0}}</v>
      </c>
    </row>
    <row r="37" spans="1:15" x14ac:dyDescent="0.2">
      <c r="A37" s="5"/>
      <c r="B37" t="s">
        <v>10</v>
      </c>
      <c r="C37">
        <v>0.9541988235691069</v>
      </c>
      <c r="D37">
        <v>0.95423728813559328</v>
      </c>
      <c r="E37" t="s">
        <v>691</v>
      </c>
      <c r="F37" t="s">
        <v>690</v>
      </c>
      <c r="G37">
        <v>0.98901176553722214</v>
      </c>
      <c r="H37">
        <v>0.90609036033544021</v>
      </c>
      <c r="I37" t="str">
        <f t="shared" si="0"/>
        <v>precision': 0.9538074305161657, 'recall': 0.9522842101544007, 'f1-score': 0.9530192435301924, 'support': 590.0}, 'weighted avg': {'precision': 0.9542109703221588, 'recall': 0.9542372881355933, 'f1-score': 0.9541988235691069, 'support': 590.0}}</v>
      </c>
      <c r="J37" t="s">
        <v>744</v>
      </c>
    </row>
    <row r="38" spans="1:15" x14ac:dyDescent="0.2">
      <c r="A38" s="5"/>
      <c r="B38" t="s">
        <v>11</v>
      </c>
      <c r="C38">
        <v>0.28995486366986001</v>
      </c>
      <c r="D38">
        <v>0.44067796610169491</v>
      </c>
      <c r="E38" t="s">
        <v>695</v>
      </c>
      <c r="F38" t="s">
        <v>694</v>
      </c>
      <c r="G38">
        <v>0.5161290322580645</v>
      </c>
      <c r="H38">
        <v>0.117782168192991</v>
      </c>
      <c r="I38" t="str">
        <f t="shared" si="0"/>
        <v>: 0.5161290322580645, 'f1-score': 0.3319746376811594, 'support': 590.0}, 'weighted avg': {'precision': 0.7594625450074647, 'recall': 0.4406779661016949, 'f1-score': 0.28995486366986, 'support': 590.0}}</v>
      </c>
    </row>
    <row r="39" spans="1:15" x14ac:dyDescent="0.2">
      <c r="A39" s="5"/>
      <c r="B39" t="s">
        <v>12</v>
      </c>
      <c r="C39">
        <v>0.9404788145260774</v>
      </c>
      <c r="D39">
        <v>0.94067796610169496</v>
      </c>
      <c r="E39" t="s">
        <v>693</v>
      </c>
      <c r="F39" t="s">
        <v>692</v>
      </c>
      <c r="G39">
        <v>0.98632653782284574</v>
      </c>
      <c r="H39">
        <v>0.87831960182443547</v>
      </c>
      <c r="I39" t="str">
        <f t="shared" si="0"/>
        <v>recision': 0.9421194614209321, 'recall': 0.9362199531262881, 'f1-score': 0.938813183166366, 'support': 590.0}, 'weighted avg': {'precision': 0.940956149408916, 'recall': 0.940677966101695, 'f1-score': 0.9404788145260774, 'support': 590.0}}</v>
      </c>
    </row>
    <row r="40" spans="1:15" x14ac:dyDescent="0.2">
      <c r="A40" s="5"/>
      <c r="B40" t="s">
        <v>13</v>
      </c>
      <c r="C40">
        <v>0.9541988235691069</v>
      </c>
      <c r="D40">
        <v>0.95423728813559328</v>
      </c>
      <c r="E40" t="s">
        <v>691</v>
      </c>
      <c r="F40" t="s">
        <v>690</v>
      </c>
      <c r="G40">
        <v>0.9871980590985644</v>
      </c>
      <c r="H40">
        <v>0.90609036033544021</v>
      </c>
      <c r="I40" t="str">
        <f t="shared" si="0"/>
        <v>precision': 0.9538074305161657, 'recall': 0.9522842101544007, 'f1-score': 0.9530192435301924, 'support': 590.0}, 'weighted avg': {'precision': 0.9542109703221588, 'recall': 0.9542372881355933, 'f1-score': 0.9541988235691069, 'support': 590.0}}</v>
      </c>
    </row>
    <row r="41" spans="1:15" x14ac:dyDescent="0.2">
      <c r="A41" s="6"/>
      <c r="B41" t="s">
        <v>14</v>
      </c>
      <c r="C41">
        <v>0.7492825512099085</v>
      </c>
      <c r="D41">
        <v>0.75084745762711869</v>
      </c>
      <c r="E41" t="s">
        <v>689</v>
      </c>
      <c r="F41" t="s">
        <v>688</v>
      </c>
      <c r="G41">
        <v>0.73967423947991384</v>
      </c>
      <c r="H41">
        <v>0.48504512159308688</v>
      </c>
      <c r="I41" t="str">
        <f t="shared" si="0"/>
        <v>precision': 0.7455917874396136, 'recall': 0.7394916911045943, 'f1-score': 0.7417051096107856, 'support': 590.0}, 'weighted avg': {'precision': 0.7493111848030788, 'recall': 0.7508474576271187, 'f1-score': 0.7492825512099085, 'support': 590.0}}</v>
      </c>
    </row>
    <row r="42" spans="1:15" x14ac:dyDescent="0.2">
      <c r="A42" s="4" t="s">
        <v>531</v>
      </c>
      <c r="B42" t="s">
        <v>7</v>
      </c>
      <c r="C42">
        <v>0.93781051933932524</v>
      </c>
      <c r="D42">
        <v>0.93768996960486317</v>
      </c>
      <c r="E42" t="s">
        <v>687</v>
      </c>
      <c r="F42" t="s">
        <v>686</v>
      </c>
      <c r="G42">
        <v>0.99166604449753626</v>
      </c>
      <c r="H42">
        <v>0.87595073196513618</v>
      </c>
      <c r="I42" t="str">
        <f t="shared" si="0"/>
        <v>ecision': 0.9362828170579247, 'recall': 0.9396744811109452, 'f1-score': 0.9373425027231788, 'support': 658.0}, 'weighted avg': {'precision': 0.9391850691859854, 'recall': 0.9376899696048632, 'f1-score': 0.9378105193393252, 'support': 658.0}}</v>
      </c>
    </row>
    <row r="43" spans="1:15" x14ac:dyDescent="0.2">
      <c r="A43" s="5"/>
      <c r="B43" t="s">
        <v>8</v>
      </c>
      <c r="C43">
        <v>0.93165953631510501</v>
      </c>
      <c r="D43">
        <v>0.93161094224924013</v>
      </c>
      <c r="E43" t="s">
        <v>685</v>
      </c>
      <c r="F43" t="s">
        <v>684</v>
      </c>
      <c r="G43">
        <v>0.93168582947588474</v>
      </c>
      <c r="H43">
        <v>0.86214551511848336</v>
      </c>
      <c r="I43" t="str">
        <f t="shared" si="0"/>
        <v>ecision': 0.9304605563155495, 'recall': 0.9316858294758847, 'f1-score': 0.9310180946456903, 'support': 658.0}, 'weighted avg': {'precision': 0.9318163683088279, 'recall': 0.9316109422492401, 'f1-score': 0.931659536315105, 'support': 658.0}}</v>
      </c>
    </row>
    <row r="44" spans="1:15" x14ac:dyDescent="0.2">
      <c r="A44" s="5"/>
      <c r="B44" t="s">
        <v>9</v>
      </c>
      <c r="C44">
        <v>0.92554320480550256</v>
      </c>
      <c r="D44">
        <v>0.92553191489361697</v>
      </c>
      <c r="E44" t="s">
        <v>683</v>
      </c>
      <c r="F44" t="s">
        <v>682</v>
      </c>
      <c r="G44">
        <v>0.92718288039420627</v>
      </c>
      <c r="H44">
        <v>0.84960049434568896</v>
      </c>
      <c r="I44" t="str">
        <f t="shared" si="0"/>
        <v>cision': 0.924671460682541, 'recall': 0.9249290727191279, 'f1-score': 0.9247980706210539, 'support': 658.0}, 'weighted avg': {'precision': 0.9255588040877132, 'recall': 0.925531914893617, 'f1-score': 0.9255432048055026, 'support': 658.0}}</v>
      </c>
    </row>
    <row r="45" spans="1:15" x14ac:dyDescent="0.2">
      <c r="A45" s="5"/>
      <c r="B45" t="s">
        <v>10</v>
      </c>
      <c r="C45">
        <v>0.94988365996441038</v>
      </c>
      <c r="D45">
        <v>0.94984802431610937</v>
      </c>
      <c r="E45" t="s">
        <v>681</v>
      </c>
      <c r="F45" t="s">
        <v>680</v>
      </c>
      <c r="G45">
        <v>0.98766238614304913</v>
      </c>
      <c r="H45">
        <v>0.89893804466803129</v>
      </c>
      <c r="I45" t="str">
        <f t="shared" si="0"/>
        <v>precision': 0.9488306950687252, 'recall': 0.9501082574286994, 'f1-score': 0.9494132694068396, 'support': 658.0}, 'weighted avg': {'precision': 0.9500296902531423, 'recall': 0.9498480243161094, 'f1-score': 0.9498836599644104, 'support': 658.0}}</v>
      </c>
      <c r="O45">
        <f>LEN(J37)</f>
        <v>413</v>
      </c>
    </row>
    <row r="46" spans="1:15" x14ac:dyDescent="0.2">
      <c r="A46" s="5"/>
      <c r="B46" t="s">
        <v>11</v>
      </c>
      <c r="C46">
        <v>0.3304863245887607</v>
      </c>
      <c r="D46">
        <v>0.47416413373860178</v>
      </c>
      <c r="E46" t="s">
        <v>679</v>
      </c>
      <c r="F46" t="s">
        <v>678</v>
      </c>
      <c r="G46">
        <v>0.5220994475138121</v>
      </c>
      <c r="H46">
        <v>0.14275260677727891</v>
      </c>
      <c r="I46" t="str">
        <f t="shared" si="0"/>
        <v>5763, 'recall': 0.5220994475138121, 'f1-score': 0.3578930743109847, 'support': 658.0}, 'weighted avg': {'precision': 0.7575585414121903, 'recall': 0.47416413373860183, 'f1-score': 0.3304863245887607, 'support': 658.0}}</v>
      </c>
    </row>
    <row r="47" spans="1:15" x14ac:dyDescent="0.2">
      <c r="A47" s="5"/>
      <c r="B47" t="s">
        <v>12</v>
      </c>
      <c r="C47">
        <v>0.93922786991685447</v>
      </c>
      <c r="D47">
        <v>0.93920972644376899</v>
      </c>
      <c r="E47" t="s">
        <v>677</v>
      </c>
      <c r="F47" t="s">
        <v>676</v>
      </c>
      <c r="G47">
        <v>0.98601985963864425</v>
      </c>
      <c r="H47">
        <v>0.8772759360300596</v>
      </c>
      <c r="I47" t="str">
        <f t="shared" si="0"/>
        <v>recision': 0.9383762117822521, 'recall': 0.9388998805435269, 'f1-score': 0.9386291353050356, 'support': 658.0}, 'weighted avg': {'precision': 0.9392635015832218, 'recall': 0.939209726443769, 'f1-score': 0.9392278699168545, 'support': 658.0}}</v>
      </c>
    </row>
    <row r="48" spans="1:15" x14ac:dyDescent="0.2">
      <c r="A48" s="5"/>
      <c r="B48" t="s">
        <v>13</v>
      </c>
      <c r="C48">
        <v>0.95135234019278203</v>
      </c>
      <c r="D48">
        <v>0.95136778115501519</v>
      </c>
      <c r="E48" t="s">
        <v>675</v>
      </c>
      <c r="F48" t="s">
        <v>674</v>
      </c>
      <c r="G48">
        <v>0.9882410034343736</v>
      </c>
      <c r="H48">
        <v>0.9017035175026723</v>
      </c>
      <c r="I48" t="str">
        <f t="shared" si="0"/>
        <v>precision': 0.9511381475667191, 'recall': 0.9505655517395849, 'f1-score': 0.9508427884390905, 'support': 658.0}, 'weighted avg': {'precision': 0.9513546592356841, 'recall': 0.9513677811550152, 'f1-score': 0.951352340192782, 'support': 658.0}}</v>
      </c>
    </row>
    <row r="49" spans="1:9" x14ac:dyDescent="0.2">
      <c r="A49" s="6"/>
      <c r="B49" t="s">
        <v>14</v>
      </c>
      <c r="C49">
        <v>0.79814719006661061</v>
      </c>
      <c r="D49">
        <v>0.79939209726443772</v>
      </c>
      <c r="E49" t="s">
        <v>673</v>
      </c>
      <c r="F49" t="s">
        <v>672</v>
      </c>
      <c r="G49">
        <v>0.80011105718978648</v>
      </c>
      <c r="H49">
        <v>0.59341675232762225</v>
      </c>
      <c r="I49" t="str">
        <f t="shared" si="0"/>
        <v>ecision': 0.8004209720627631, 'recall': 0.7930416604449754, 'f1-score': 0.7952127659574468, 'support': 658.0}, 'weighted avg': {'precision': 0.799864367663669, 'recall': 0.7993920972644377, 'f1-score': 0.7981471900666106, 'support': 658.0}}</v>
      </c>
    </row>
    <row r="50" spans="1:9" x14ac:dyDescent="0.2">
      <c r="A50" s="4" t="s">
        <v>129</v>
      </c>
      <c r="B50" t="s">
        <v>7</v>
      </c>
      <c r="C50">
        <v>0.91010884456478358</v>
      </c>
      <c r="D50">
        <v>0.90977443609022557</v>
      </c>
      <c r="E50" t="s">
        <v>53</v>
      </c>
      <c r="F50" t="s">
        <v>107</v>
      </c>
      <c r="G50">
        <v>0.97999999999999987</v>
      </c>
      <c r="H50">
        <v>0.8096371797550308</v>
      </c>
      <c r="I50" t="str">
        <f t="shared" si="0"/>
        <v>8281101614435, 'recall': 0.9078313253012048, 'f1-score': 0.9045911047345767, 'support': 133.0}, 'weighted avg': {'precision': 0.9108704810459197, 'recall': 0.9097744360902256, 'f1-score': 0.9101088445647836, 'support': 133.0}}</v>
      </c>
    </row>
    <row r="51" spans="1:9" x14ac:dyDescent="0.2">
      <c r="A51" s="5"/>
      <c r="B51" t="s">
        <v>8</v>
      </c>
      <c r="C51">
        <v>0.86647562963352442</v>
      </c>
      <c r="D51">
        <v>0.86466165413533835</v>
      </c>
      <c r="E51" t="s">
        <v>671</v>
      </c>
      <c r="F51" t="s">
        <v>670</v>
      </c>
      <c r="G51">
        <v>0.87566265060240966</v>
      </c>
      <c r="H51">
        <v>0.73133272496311108</v>
      </c>
      <c r="I51" t="str">
        <f t="shared" si="0"/>
        <v>59360730593608, 'recall': 0.8756626506024097, 'f1-score': 0.8604895104895105, 'support': 133.0}, 'weighted avg': {'precision': 0.8780856250214577, 'recall': 0.8646616541353384, 'f1-score': 0.8664756296335244, 'support': 133.0}}</v>
      </c>
    </row>
    <row r="52" spans="1:9" x14ac:dyDescent="0.2">
      <c r="A52" s="5"/>
      <c r="B52" t="s">
        <v>9</v>
      </c>
      <c r="C52">
        <v>0.89925251139656426</v>
      </c>
      <c r="D52">
        <v>0.90225563909774431</v>
      </c>
      <c r="E52" t="s">
        <v>669</v>
      </c>
      <c r="F52" t="s">
        <v>668</v>
      </c>
      <c r="G52">
        <v>0.87397590361445787</v>
      </c>
      <c r="H52">
        <v>0.7957954173831544</v>
      </c>
      <c r="I52" t="str">
        <f t="shared" si="0"/>
        <v>3496999454447, 'recall': 0.8739759036144579, 'f1-score': 0.8902431282930237, 'support': 133.0}, 'weighted avg': {'precision': 0.9106932634368246, 'recall': 0.9022556390977443, 'f1-score': 0.8992525113965643, 'support': 133.0}}</v>
      </c>
    </row>
    <row r="53" spans="1:9" x14ac:dyDescent="0.2">
      <c r="A53" s="5"/>
      <c r="B53" t="s">
        <v>10</v>
      </c>
      <c r="C53">
        <v>0.92449235333231028</v>
      </c>
      <c r="D53">
        <v>0.92481203007518797</v>
      </c>
      <c r="E53" t="s">
        <v>667</v>
      </c>
      <c r="F53" t="s">
        <v>666</v>
      </c>
      <c r="G53">
        <v>0.976867469879518</v>
      </c>
      <c r="H53">
        <v>0.83891248378201555</v>
      </c>
      <c r="I53" t="str">
        <f t="shared" si="0"/>
        <v>0392156862746, 'recall': 0.9159036144578313, 'f1-score': 0.9192176870748299, 'support': 133.0}, 'weighted avg': {'precision': 0.9246203744655757, 'recall': 0.924812030075188, 'f1-score': 0.9244923533323103, 'support': 133.0}}</v>
      </c>
    </row>
    <row r="54" spans="1:9" x14ac:dyDescent="0.2">
      <c r="A54" s="5"/>
      <c r="B54" t="s">
        <v>11</v>
      </c>
      <c r="C54">
        <v>0.2214189319452477</v>
      </c>
      <c r="D54">
        <v>0.38345864661654128</v>
      </c>
      <c r="E54" t="s">
        <v>665</v>
      </c>
      <c r="F54" t="s">
        <v>664</v>
      </c>
      <c r="G54">
        <v>0.50602409638554213</v>
      </c>
      <c r="H54">
        <v>6.7555232091870518E-2</v>
      </c>
      <c r="I54" t="str">
        <f t="shared" si="0"/>
        <v>94, 'recall': 0.5060240963855421, 'f1-score': 0.2866300366300366, 'support': 133.0}, 'weighted avg': {'precision': 0.7664616085668717, 'recall': 0.38345864661654133, 'f1-score': 0.22141893194524773, 'support': 133.0}}</v>
      </c>
    </row>
    <row r="55" spans="1:9" x14ac:dyDescent="0.2">
      <c r="A55" s="5"/>
      <c r="B55" t="s">
        <v>12</v>
      </c>
      <c r="C55">
        <v>0.88375289776526633</v>
      </c>
      <c r="D55">
        <v>0.88721804511278191</v>
      </c>
      <c r="E55" t="s">
        <v>663</v>
      </c>
      <c r="F55" t="s">
        <v>662</v>
      </c>
      <c r="G55">
        <v>0.97783132530120487</v>
      </c>
      <c r="H55">
        <v>0.7616972245635798</v>
      </c>
      <c r="I55" t="str">
        <f t="shared" si="0"/>
        <v>52100381887616, 'recall': 0.8579518072289156, 'f1-score': 0.8733574557227195, 'support': 133.0}, 'weighted avg': {'precision': 0.8944148423431738, 'recall': 0.8872180451127819, 'f1-score': 0.8837528977652663, 'support': 133.0}}</v>
      </c>
    </row>
    <row r="56" spans="1:9" x14ac:dyDescent="0.2">
      <c r="A56" s="5"/>
      <c r="B56" t="s">
        <v>13</v>
      </c>
      <c r="C56">
        <v>0.93246076487347984</v>
      </c>
      <c r="D56">
        <v>0.93233082706766912</v>
      </c>
      <c r="E56" t="s">
        <v>661</v>
      </c>
      <c r="F56" t="s">
        <v>660</v>
      </c>
      <c r="G56">
        <v>0.98216867469879521</v>
      </c>
      <c r="H56">
        <v>0.85646334970271332</v>
      </c>
      <c r="I56" t="str">
        <f t="shared" si="0"/>
        <v>65901482544237, 'recall': 0.9298795180722892, 'f1-score': 0.9281728172817282, 'support': 133.0}, 'weighted avg': {'precision': 0.9327011934427174, 'recall': 0.9323308270676691, 'f1-score': 0.9324607648734798, 'support': 133.0}}</v>
      </c>
    </row>
    <row r="57" spans="1:9" x14ac:dyDescent="0.2">
      <c r="A57" s="6"/>
      <c r="B57" t="s">
        <v>14</v>
      </c>
      <c r="C57">
        <v>0.83616647751454098</v>
      </c>
      <c r="D57">
        <v>0.83458646616541354</v>
      </c>
      <c r="E57" t="s">
        <v>659</v>
      </c>
      <c r="F57" t="s">
        <v>658</v>
      </c>
      <c r="G57">
        <v>0.83566265060240963</v>
      </c>
      <c r="H57">
        <v>0.65859387535988767</v>
      </c>
      <c r="I57" t="str">
        <f t="shared" si="0"/>
        <v xml:space="preserve"> 'recall': 0.8356626506024096, 'f1-score': 0.8274764150943397, 'support': 133.0}, 'weighted avg': {'precision': 0.8411776193731081, 'recall': 0.8345864661654135, 'f1-score': 0.836166477514541, 'support': 133.0}}</v>
      </c>
    </row>
    <row r="58" spans="1:9" x14ac:dyDescent="0.2">
      <c r="A58" s="4" t="s">
        <v>130</v>
      </c>
      <c r="B58" t="s">
        <v>7</v>
      </c>
      <c r="C58">
        <v>0.94044741852685609</v>
      </c>
      <c r="D58">
        <v>0.94034090909090906</v>
      </c>
      <c r="E58" t="s">
        <v>657</v>
      </c>
      <c r="F58" t="s">
        <v>656</v>
      </c>
      <c r="G58">
        <v>0.98855151816824294</v>
      </c>
      <c r="H58">
        <v>0.87806002459707966</v>
      </c>
      <c r="I58" t="str">
        <f t="shared" si="0"/>
        <v>precision': 0.9374649929162137, 'recall': 0.9406006304961009, 'f1-score': 0.9389030317056237, 'support': 704.0}, 'weighted avg': {'precision': 0.9408010556788604, 'recall': 0.9403409090909091, 'f1-score': 0.9404474185268561, 'support': 704.0}}</v>
      </c>
    </row>
    <row r="59" spans="1:9" x14ac:dyDescent="0.2">
      <c r="A59" s="5"/>
      <c r="B59" t="s">
        <v>8</v>
      </c>
      <c r="C59">
        <v>0.91625202139130468</v>
      </c>
      <c r="D59">
        <v>0.91619318181818177</v>
      </c>
      <c r="E59" t="s">
        <v>655</v>
      </c>
      <c r="F59" t="s">
        <v>654</v>
      </c>
      <c r="G59">
        <v>0.91457607433217181</v>
      </c>
      <c r="H59">
        <v>0.82798867144229982</v>
      </c>
      <c r="I59" t="str">
        <f t="shared" si="0"/>
        <v>precision': 0.9134134134134134, 'recall': 0.9145760743321719, 'f1-score': 0.9139768912305555, 'support': 704.0}, 'weighted avg': {'precision': 0.916344805549351, 'recall': 0.9161931818181818, 'f1-score': 0.9162520213913047, 'support': 704.0}}</v>
      </c>
    </row>
    <row r="60" spans="1:9" x14ac:dyDescent="0.2">
      <c r="A60" s="5"/>
      <c r="B60" t="s">
        <v>9</v>
      </c>
      <c r="C60">
        <v>0.90652591032373475</v>
      </c>
      <c r="D60">
        <v>0.90625</v>
      </c>
      <c r="E60" t="s">
        <v>653</v>
      </c>
      <c r="F60" t="s">
        <v>652</v>
      </c>
      <c r="G60">
        <v>0.92447320391571264</v>
      </c>
      <c r="H60">
        <v>0.8092244474571777</v>
      </c>
      <c r="I60" t="str">
        <f t="shared" si="0"/>
        <v xml:space="preserve"> 0.9022366522366523, 'recall': 0.907001825120292, 'f1-score': 0.9042397962127895, 'support': 704.0}, 'weighted avg': {'precision': 0.9075269742883378, 'recall': 0.90625, 'f1-score': 0.9065259103237348, 'support': 704.0}}</v>
      </c>
    </row>
    <row r="61" spans="1:9" x14ac:dyDescent="0.2">
      <c r="A61" s="5"/>
      <c r="B61" t="s">
        <v>10</v>
      </c>
      <c r="C61">
        <v>0.94599628166772731</v>
      </c>
      <c r="D61">
        <v>0.94602272727272729</v>
      </c>
      <c r="E61" t="s">
        <v>651</v>
      </c>
      <c r="F61" t="s">
        <v>650</v>
      </c>
      <c r="G61">
        <v>0.985722581715613</v>
      </c>
      <c r="H61">
        <v>0.8889409858055366</v>
      </c>
      <c r="I61" t="str">
        <f t="shared" si="0"/>
        <v>recision': 0.9449062375315866, 'recall': 0.944035175045628, 'f1-score': 0.9444624365777302, 'support': 704.0}, 'weighted avg': {'precision': 0.9459855109480224, 'recall': 0.9460227272727273, 'f1-score': 0.9459962816677273, 'support': 704.0}}</v>
      </c>
    </row>
    <row r="62" spans="1:9" x14ac:dyDescent="0.2">
      <c r="A62" s="5"/>
      <c r="B62" t="s">
        <v>11</v>
      </c>
      <c r="C62">
        <v>0.2491297022010513</v>
      </c>
      <c r="D62">
        <v>0.41903409090909088</v>
      </c>
      <c r="E62" t="s">
        <v>649</v>
      </c>
      <c r="F62" t="s">
        <v>648</v>
      </c>
      <c r="G62">
        <v>0.50121951219512195</v>
      </c>
      <c r="H62">
        <v>3.1937732152392893E-2</v>
      </c>
      <c r="I62" t="str">
        <f t="shared" si="0"/>
        <v>27881, 'recall': 0.501219512195122, 'f1-score': 0.2973177439862166, 'support': 704.0}, 'weighted avg': {'precision': 0.7570355942066468, 'recall': 0.4190340909090909, 'f1-score': 0.2491297022010513, 'support': 704.0}}</v>
      </c>
    </row>
    <row r="63" spans="1:9" x14ac:dyDescent="0.2">
      <c r="A63" s="5"/>
      <c r="B63" t="s">
        <v>12</v>
      </c>
      <c r="C63">
        <v>0.94306445262217375</v>
      </c>
      <c r="D63">
        <v>0.94318181818181823</v>
      </c>
      <c r="E63" t="s">
        <v>647</v>
      </c>
      <c r="F63" t="s">
        <v>646</v>
      </c>
      <c r="G63">
        <v>0.97796582047453129</v>
      </c>
      <c r="H63">
        <v>0.88298377919218141</v>
      </c>
      <c r="I63" t="str">
        <f t="shared" si="0"/>
        <v>precision': 0.9433198380566802, 'recall': 0.9396714783474365, 'f1-score': 0.9413626520073297, 'support': 704.0}, 'weighted avg': {'precision': 0.9431985478636197, 'recall': 0.9431818181818182, 'f1-score': 0.9430644526221738, 'support': 704.0}}</v>
      </c>
    </row>
    <row r="64" spans="1:9" x14ac:dyDescent="0.2">
      <c r="A64" s="5"/>
      <c r="B64" t="s">
        <v>13</v>
      </c>
      <c r="C64">
        <v>0.9473770726129217</v>
      </c>
      <c r="D64">
        <v>0.94744318181818177</v>
      </c>
      <c r="E64" t="s">
        <v>645</v>
      </c>
      <c r="F64" t="s">
        <v>644</v>
      </c>
      <c r="G64">
        <v>0.98426248548199768</v>
      </c>
      <c r="H64">
        <v>0.89178783113628868</v>
      </c>
      <c r="I64" t="str">
        <f t="shared" si="0"/>
        <v>precision': 0.9470171342810689, 'recall': 0.9447735191637631, 'f1-score': 0.9458433390508862, 'support': 704.0}, 'weighted avg': {'precision': 0.9474093685215856, 'recall': 0.9474431818181818, 'f1-score': 0.9473770726129217, 'support': 704.0}}</v>
      </c>
    </row>
    <row r="65" spans="1:9" x14ac:dyDescent="0.2">
      <c r="A65" s="6"/>
      <c r="B65" t="s">
        <v>14</v>
      </c>
      <c r="C65">
        <v>0.78228101479237822</v>
      </c>
      <c r="D65">
        <v>0.78267045454545459</v>
      </c>
      <c r="E65" t="s">
        <v>643</v>
      </c>
      <c r="F65" t="s">
        <v>642</v>
      </c>
      <c r="G65">
        <v>0.7781566285050604</v>
      </c>
      <c r="H65">
        <v>0.55181668170214682</v>
      </c>
      <c r="I65" t="str">
        <f t="shared" si="0"/>
        <v>precision': 0.7768990382606806, 'recall': 0.7749211879873901, 'f1-score': 0.7758274417413998, 'support': 704.0}, 'weighted avg': {'precision': 0.7820489174070943, 'recall': 0.7826704545454546, 'f1-score': 0.7822810147923782, 'support': 704.0}}</v>
      </c>
    </row>
    <row r="66" spans="1:9" x14ac:dyDescent="0.2">
      <c r="I66" t="str">
        <f t="shared" si="0"/>
        <v/>
      </c>
    </row>
    <row r="67" spans="1:9" x14ac:dyDescent="0.2">
      <c r="I67" t="str">
        <f t="shared" ref="I67:I115" si="1">MID(F67,300,300)</f>
        <v/>
      </c>
    </row>
    <row r="68" spans="1:9" x14ac:dyDescent="0.2">
      <c r="I68" t="str">
        <f t="shared" si="1"/>
        <v/>
      </c>
    </row>
    <row r="69" spans="1:9" x14ac:dyDescent="0.2">
      <c r="I69" t="str">
        <f t="shared" si="1"/>
        <v/>
      </c>
    </row>
    <row r="70" spans="1:9" x14ac:dyDescent="0.2">
      <c r="I70" t="str">
        <f t="shared" si="1"/>
        <v/>
      </c>
    </row>
    <row r="71" spans="1:9" x14ac:dyDescent="0.2">
      <c r="I71" t="str">
        <f t="shared" si="1"/>
        <v/>
      </c>
    </row>
    <row r="72" spans="1:9" x14ac:dyDescent="0.2">
      <c r="I72" t="str">
        <f t="shared" si="1"/>
        <v/>
      </c>
    </row>
    <row r="73" spans="1:9" x14ac:dyDescent="0.2">
      <c r="I73" t="str">
        <f t="shared" si="1"/>
        <v/>
      </c>
    </row>
    <row r="74" spans="1:9" x14ac:dyDescent="0.2">
      <c r="I74" t="str">
        <f t="shared" si="1"/>
        <v/>
      </c>
    </row>
    <row r="75" spans="1:9" x14ac:dyDescent="0.2">
      <c r="I75" t="str">
        <f t="shared" si="1"/>
        <v/>
      </c>
    </row>
    <row r="76" spans="1:9" x14ac:dyDescent="0.2">
      <c r="I76" t="str">
        <f t="shared" si="1"/>
        <v/>
      </c>
    </row>
    <row r="77" spans="1:9" x14ac:dyDescent="0.2">
      <c r="I77" t="str">
        <f t="shared" si="1"/>
        <v/>
      </c>
    </row>
    <row r="78" spans="1:9" x14ac:dyDescent="0.2">
      <c r="I78" t="str">
        <f t="shared" si="1"/>
        <v/>
      </c>
    </row>
    <row r="79" spans="1:9" x14ac:dyDescent="0.2">
      <c r="I79" t="str">
        <f t="shared" si="1"/>
        <v/>
      </c>
    </row>
    <row r="80" spans="1:9" x14ac:dyDescent="0.2">
      <c r="I80" t="str">
        <f t="shared" si="1"/>
        <v/>
      </c>
    </row>
    <row r="81" spans="9:9" x14ac:dyDescent="0.2">
      <c r="I81" t="str">
        <f t="shared" si="1"/>
        <v/>
      </c>
    </row>
    <row r="82" spans="9:9" x14ac:dyDescent="0.2">
      <c r="I82" t="str">
        <f t="shared" si="1"/>
        <v/>
      </c>
    </row>
    <row r="83" spans="9:9" x14ac:dyDescent="0.2">
      <c r="I83" t="str">
        <f t="shared" si="1"/>
        <v/>
      </c>
    </row>
    <row r="84" spans="9:9" x14ac:dyDescent="0.2">
      <c r="I84" t="str">
        <f t="shared" si="1"/>
        <v/>
      </c>
    </row>
    <row r="85" spans="9:9" x14ac:dyDescent="0.2">
      <c r="I85" t="str">
        <f t="shared" si="1"/>
        <v/>
      </c>
    </row>
    <row r="86" spans="9:9" x14ac:dyDescent="0.2">
      <c r="I86" t="str">
        <f t="shared" si="1"/>
        <v/>
      </c>
    </row>
    <row r="87" spans="9:9" x14ac:dyDescent="0.2">
      <c r="I87" t="str">
        <f t="shared" si="1"/>
        <v/>
      </c>
    </row>
    <row r="88" spans="9:9" x14ac:dyDescent="0.2">
      <c r="I88" t="str">
        <f t="shared" si="1"/>
        <v/>
      </c>
    </row>
    <row r="89" spans="9:9" x14ac:dyDescent="0.2">
      <c r="I89" t="str">
        <f t="shared" si="1"/>
        <v/>
      </c>
    </row>
    <row r="90" spans="9:9" x14ac:dyDescent="0.2">
      <c r="I90" t="str">
        <f t="shared" si="1"/>
        <v/>
      </c>
    </row>
    <row r="91" spans="9:9" x14ac:dyDescent="0.2">
      <c r="I91" t="str">
        <f t="shared" si="1"/>
        <v/>
      </c>
    </row>
    <row r="92" spans="9:9" x14ac:dyDescent="0.2">
      <c r="I92" t="str">
        <f t="shared" si="1"/>
        <v/>
      </c>
    </row>
    <row r="93" spans="9:9" x14ac:dyDescent="0.2">
      <c r="I93" t="str">
        <f t="shared" si="1"/>
        <v/>
      </c>
    </row>
    <row r="94" spans="9:9" x14ac:dyDescent="0.2">
      <c r="I94" t="str">
        <f t="shared" si="1"/>
        <v/>
      </c>
    </row>
    <row r="95" spans="9:9" x14ac:dyDescent="0.2">
      <c r="I95" t="str">
        <f t="shared" si="1"/>
        <v/>
      </c>
    </row>
    <row r="96" spans="9:9" x14ac:dyDescent="0.2">
      <c r="I96" t="str">
        <f t="shared" si="1"/>
        <v/>
      </c>
    </row>
    <row r="97" spans="9:9" x14ac:dyDescent="0.2">
      <c r="I97" t="str">
        <f t="shared" si="1"/>
        <v/>
      </c>
    </row>
    <row r="98" spans="9:9" x14ac:dyDescent="0.2">
      <c r="I98" t="str">
        <f t="shared" si="1"/>
        <v/>
      </c>
    </row>
    <row r="99" spans="9:9" x14ac:dyDescent="0.2">
      <c r="I99" t="str">
        <f t="shared" si="1"/>
        <v/>
      </c>
    </row>
    <row r="100" spans="9:9" x14ac:dyDescent="0.2">
      <c r="I100" t="str">
        <f t="shared" si="1"/>
        <v/>
      </c>
    </row>
    <row r="101" spans="9:9" x14ac:dyDescent="0.2">
      <c r="I101" t="str">
        <f t="shared" si="1"/>
        <v/>
      </c>
    </row>
    <row r="102" spans="9:9" x14ac:dyDescent="0.2">
      <c r="I102" t="str">
        <f t="shared" si="1"/>
        <v/>
      </c>
    </row>
    <row r="103" spans="9:9" x14ac:dyDescent="0.2">
      <c r="I103" t="str">
        <f t="shared" si="1"/>
        <v/>
      </c>
    </row>
    <row r="104" spans="9:9" x14ac:dyDescent="0.2">
      <c r="I104" t="str">
        <f t="shared" si="1"/>
        <v/>
      </c>
    </row>
    <row r="105" spans="9:9" x14ac:dyDescent="0.2">
      <c r="I105" t="str">
        <f t="shared" si="1"/>
        <v/>
      </c>
    </row>
    <row r="106" spans="9:9" x14ac:dyDescent="0.2">
      <c r="I106" t="str">
        <f t="shared" si="1"/>
        <v/>
      </c>
    </row>
    <row r="107" spans="9:9" x14ac:dyDescent="0.2">
      <c r="I107" t="str">
        <f t="shared" si="1"/>
        <v/>
      </c>
    </row>
    <row r="108" spans="9:9" x14ac:dyDescent="0.2">
      <c r="I108" t="str">
        <f t="shared" si="1"/>
        <v/>
      </c>
    </row>
    <row r="109" spans="9:9" x14ac:dyDescent="0.2">
      <c r="I109" t="str">
        <f t="shared" si="1"/>
        <v/>
      </c>
    </row>
    <row r="110" spans="9:9" x14ac:dyDescent="0.2">
      <c r="I110" t="str">
        <f t="shared" si="1"/>
        <v/>
      </c>
    </row>
    <row r="111" spans="9:9" x14ac:dyDescent="0.2">
      <c r="I111" t="str">
        <f t="shared" si="1"/>
        <v/>
      </c>
    </row>
    <row r="112" spans="9:9" x14ac:dyDescent="0.2">
      <c r="I112" t="str">
        <f t="shared" si="1"/>
        <v/>
      </c>
    </row>
    <row r="113" spans="9:9" x14ac:dyDescent="0.2">
      <c r="I113" t="str">
        <f t="shared" si="1"/>
        <v/>
      </c>
    </row>
    <row r="114" spans="9:9" x14ac:dyDescent="0.2">
      <c r="I114" t="str">
        <f t="shared" si="1"/>
        <v/>
      </c>
    </row>
    <row r="115" spans="9:9" x14ac:dyDescent="0.2">
      <c r="I115" t="str">
        <f t="shared" si="1"/>
        <v/>
      </c>
    </row>
    <row r="116" spans="9:9" x14ac:dyDescent="0.2">
      <c r="I116" t="str">
        <f t="shared" ref="I67:I125" si="2">MID(F116,300,200)</f>
        <v/>
      </c>
    </row>
    <row r="117" spans="9:9" x14ac:dyDescent="0.2">
      <c r="I117" t="str">
        <f t="shared" si="2"/>
        <v/>
      </c>
    </row>
    <row r="118" spans="9:9" x14ac:dyDescent="0.2">
      <c r="I118" t="str">
        <f t="shared" si="2"/>
        <v/>
      </c>
    </row>
    <row r="119" spans="9:9" x14ac:dyDescent="0.2">
      <c r="I119" t="str">
        <f t="shared" si="2"/>
        <v/>
      </c>
    </row>
    <row r="120" spans="9:9" x14ac:dyDescent="0.2">
      <c r="I120" t="str">
        <f t="shared" si="2"/>
        <v/>
      </c>
    </row>
    <row r="121" spans="9:9" x14ac:dyDescent="0.2">
      <c r="I121" t="str">
        <f t="shared" si="2"/>
        <v/>
      </c>
    </row>
    <row r="122" spans="9:9" x14ac:dyDescent="0.2">
      <c r="I122" t="str">
        <f t="shared" si="2"/>
        <v/>
      </c>
    </row>
    <row r="123" spans="9:9" x14ac:dyDescent="0.2">
      <c r="I123" t="str">
        <f t="shared" si="2"/>
        <v/>
      </c>
    </row>
    <row r="124" spans="9:9" x14ac:dyDescent="0.2">
      <c r="I124" t="str">
        <f t="shared" si="2"/>
        <v/>
      </c>
    </row>
    <row r="125" spans="9:9" x14ac:dyDescent="0.2">
      <c r="I125" t="str">
        <f t="shared" si="2"/>
        <v/>
      </c>
    </row>
  </sheetData>
  <mergeCells count="8">
    <mergeCell ref="A50:A57"/>
    <mergeCell ref="A58:A65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141A-4ACA-0C49-8B35-C58E9F1E973C}">
  <dimension ref="A1:H65"/>
  <sheetViews>
    <sheetView zoomScale="175" zoomScaleNormal="175" workbookViewId="0">
      <selection activeCell="A2" sqref="A2:A65"/>
    </sheetView>
  </sheetViews>
  <sheetFormatPr baseColWidth="10" defaultColWidth="8.83203125" defaultRowHeight="15" x14ac:dyDescent="0.2"/>
  <cols>
    <col min="3" max="3" width="24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4" t="s">
        <v>123</v>
      </c>
      <c r="B2" t="s">
        <v>7</v>
      </c>
      <c r="C2">
        <v>0.96318680491895414</v>
      </c>
      <c r="D2">
        <v>0.96325459317585305</v>
      </c>
      <c r="E2" t="s">
        <v>226</v>
      </c>
      <c r="F2" t="s">
        <v>225</v>
      </c>
      <c r="G2">
        <v>0.99519230769230771</v>
      </c>
      <c r="H2">
        <v>0.92453084733738611</v>
      </c>
    </row>
    <row r="3" spans="1:8" x14ac:dyDescent="0.2">
      <c r="A3" s="5"/>
      <c r="B3" t="s">
        <v>8</v>
      </c>
      <c r="C3">
        <v>0.95015237025055888</v>
      </c>
      <c r="D3">
        <v>0.95013123359580054</v>
      </c>
      <c r="E3" t="s">
        <v>232</v>
      </c>
      <c r="F3" t="s">
        <v>231</v>
      </c>
      <c r="G3">
        <v>0.94925056561085974</v>
      </c>
      <c r="H3">
        <v>0.89773979698144246</v>
      </c>
    </row>
    <row r="4" spans="1:8" x14ac:dyDescent="0.2">
      <c r="A4" s="5"/>
      <c r="B4" t="s">
        <v>9</v>
      </c>
      <c r="C4">
        <v>0.96847582986343961</v>
      </c>
      <c r="D4">
        <v>0.96850393700787396</v>
      </c>
      <c r="E4" t="s">
        <v>230</v>
      </c>
      <c r="F4" t="s">
        <v>229</v>
      </c>
      <c r="G4">
        <v>0.96674208144796381</v>
      </c>
      <c r="H4">
        <v>0.93529344094283917</v>
      </c>
    </row>
    <row r="5" spans="1:8" x14ac:dyDescent="0.2">
      <c r="A5" s="5"/>
      <c r="B5" t="s">
        <v>10</v>
      </c>
      <c r="C5">
        <v>0.9603587825137494</v>
      </c>
      <c r="D5">
        <v>0.96062992125984248</v>
      </c>
      <c r="E5" t="s">
        <v>228</v>
      </c>
      <c r="F5" t="s">
        <v>227</v>
      </c>
      <c r="G5">
        <v>0.97980769230769227</v>
      </c>
      <c r="H5">
        <v>0.92058411582325139</v>
      </c>
    </row>
    <row r="6" spans="1:8" x14ac:dyDescent="0.2">
      <c r="A6" s="5"/>
      <c r="B6" t="s">
        <v>11</v>
      </c>
      <c r="C6">
        <v>0.96318680491895414</v>
      </c>
      <c r="D6">
        <v>0.96325459317585305</v>
      </c>
      <c r="E6" t="s">
        <v>226</v>
      </c>
      <c r="F6" t="s">
        <v>225</v>
      </c>
      <c r="G6">
        <v>0.96056278280542995</v>
      </c>
      <c r="H6">
        <v>0.92453084733738611</v>
      </c>
    </row>
    <row r="7" spans="1:8" x14ac:dyDescent="0.2">
      <c r="A7" s="5"/>
      <c r="B7" t="s">
        <v>12</v>
      </c>
      <c r="C7">
        <v>0.95512811750456872</v>
      </c>
      <c r="D7">
        <v>0.95538057742782156</v>
      </c>
      <c r="E7" t="s">
        <v>224</v>
      </c>
      <c r="F7" t="s">
        <v>223</v>
      </c>
      <c r="G7">
        <v>0.98215497737556567</v>
      </c>
      <c r="H7">
        <v>0.90916482380416741</v>
      </c>
    </row>
    <row r="8" spans="1:8" x14ac:dyDescent="0.2">
      <c r="A8" s="5"/>
      <c r="B8" t="s">
        <v>13</v>
      </c>
      <c r="C8">
        <v>0.94166615654471353</v>
      </c>
      <c r="D8">
        <v>0.94225721784776906</v>
      </c>
      <c r="E8" t="s">
        <v>222</v>
      </c>
      <c r="F8" t="s">
        <v>221</v>
      </c>
      <c r="G8">
        <v>0.9716628959276018</v>
      </c>
      <c r="H8">
        <v>0.88390570204379826</v>
      </c>
    </row>
    <row r="9" spans="1:8" x14ac:dyDescent="0.2">
      <c r="A9" s="6"/>
      <c r="B9" t="s">
        <v>14</v>
      </c>
      <c r="C9">
        <v>0.80323304046273247</v>
      </c>
      <c r="D9">
        <v>0.80314960629921262</v>
      </c>
      <c r="E9" t="s">
        <v>220</v>
      </c>
      <c r="F9" t="s">
        <v>219</v>
      </c>
      <c r="G9">
        <v>0.79625282805429864</v>
      </c>
      <c r="H9">
        <v>0.5962986036227812</v>
      </c>
    </row>
    <row r="10" spans="1:8" x14ac:dyDescent="0.2">
      <c r="A10" s="4" t="s">
        <v>124</v>
      </c>
      <c r="B10" t="s">
        <v>7</v>
      </c>
      <c r="C10">
        <v>0.92918754620882282</v>
      </c>
      <c r="D10">
        <v>0.9285714285714286</v>
      </c>
      <c r="E10" t="s">
        <v>218</v>
      </c>
      <c r="F10" t="s">
        <v>217</v>
      </c>
      <c r="G10">
        <v>1</v>
      </c>
      <c r="H10">
        <v>0.86486993241758614</v>
      </c>
    </row>
    <row r="11" spans="1:8" x14ac:dyDescent="0.2">
      <c r="A11" s="5"/>
      <c r="B11" t="s">
        <v>8</v>
      </c>
      <c r="C11">
        <v>0.9762876579203108</v>
      </c>
      <c r="D11">
        <v>0.97619047619047616</v>
      </c>
      <c r="E11" t="s">
        <v>214</v>
      </c>
      <c r="F11" t="s">
        <v>213</v>
      </c>
      <c r="G11">
        <v>0.98</v>
      </c>
      <c r="H11">
        <v>0.9521904571390466</v>
      </c>
    </row>
    <row r="12" spans="1:8" x14ac:dyDescent="0.2">
      <c r="A12" s="5"/>
      <c r="B12" t="s">
        <v>9</v>
      </c>
      <c r="C12">
        <v>1</v>
      </c>
      <c r="D12">
        <v>1</v>
      </c>
      <c r="E12" t="s">
        <v>216</v>
      </c>
      <c r="F12" t="s">
        <v>215</v>
      </c>
      <c r="G12">
        <v>1</v>
      </c>
      <c r="H12">
        <v>1</v>
      </c>
    </row>
    <row r="13" spans="1:8" x14ac:dyDescent="0.2">
      <c r="A13" s="5"/>
      <c r="B13" t="s">
        <v>10</v>
      </c>
      <c r="C13">
        <v>0.9762876579203108</v>
      </c>
      <c r="D13">
        <v>0.97619047619047616</v>
      </c>
      <c r="E13" t="s">
        <v>214</v>
      </c>
      <c r="F13" t="s">
        <v>213</v>
      </c>
      <c r="G13">
        <v>0.98117647058823532</v>
      </c>
      <c r="H13">
        <v>0.9521904571390466</v>
      </c>
    </row>
    <row r="14" spans="1:8" x14ac:dyDescent="0.2">
      <c r="A14" s="5"/>
      <c r="B14" t="s">
        <v>11</v>
      </c>
      <c r="C14">
        <v>1</v>
      </c>
      <c r="D14">
        <v>1</v>
      </c>
      <c r="E14" t="s">
        <v>216</v>
      </c>
      <c r="F14" t="s">
        <v>215</v>
      </c>
      <c r="G14">
        <v>1</v>
      </c>
      <c r="H14">
        <v>1</v>
      </c>
    </row>
    <row r="15" spans="1:8" x14ac:dyDescent="0.2">
      <c r="A15" s="5"/>
      <c r="B15" t="s">
        <v>12</v>
      </c>
      <c r="C15">
        <v>0.9762876579203108</v>
      </c>
      <c r="D15">
        <v>0.97619047619047616</v>
      </c>
      <c r="E15" t="s">
        <v>214</v>
      </c>
      <c r="F15" t="s">
        <v>213</v>
      </c>
      <c r="G15">
        <v>1</v>
      </c>
      <c r="H15">
        <v>0.9521904571390466</v>
      </c>
    </row>
    <row r="16" spans="1:8" x14ac:dyDescent="0.2">
      <c r="A16" s="5"/>
      <c r="B16" t="s">
        <v>13</v>
      </c>
      <c r="C16">
        <v>0.95271164021164012</v>
      </c>
      <c r="D16">
        <v>0.95238095238095233</v>
      </c>
      <c r="E16" t="s">
        <v>212</v>
      </c>
      <c r="F16" t="s">
        <v>211</v>
      </c>
      <c r="G16">
        <v>1</v>
      </c>
      <c r="H16">
        <v>0.90728049396911536</v>
      </c>
    </row>
    <row r="17" spans="1:8" x14ac:dyDescent="0.2">
      <c r="A17" s="6"/>
      <c r="B17" t="s">
        <v>14</v>
      </c>
      <c r="C17">
        <v>0.83244206773618534</v>
      </c>
      <c r="D17">
        <v>0.83333333333333337</v>
      </c>
      <c r="E17" t="s">
        <v>210</v>
      </c>
      <c r="F17" t="s">
        <v>209</v>
      </c>
      <c r="G17">
        <v>0.89176470588235279</v>
      </c>
      <c r="H17">
        <v>0.65164254699165691</v>
      </c>
    </row>
    <row r="18" spans="1:8" x14ac:dyDescent="0.2">
      <c r="A18" s="4" t="s">
        <v>125</v>
      </c>
      <c r="B18" t="s">
        <v>7</v>
      </c>
      <c r="C18">
        <v>0.93240740740740746</v>
      </c>
      <c r="D18">
        <v>0.9375</v>
      </c>
      <c r="E18" t="s">
        <v>202</v>
      </c>
      <c r="F18" t="s">
        <v>201</v>
      </c>
      <c r="G18">
        <v>1</v>
      </c>
      <c r="H18">
        <v>0.7867957924694432</v>
      </c>
    </row>
    <row r="19" spans="1:8" x14ac:dyDescent="0.2">
      <c r="A19" s="5"/>
      <c r="B19" t="s">
        <v>8</v>
      </c>
      <c r="C19">
        <v>0.8482142857142857</v>
      </c>
      <c r="D19">
        <v>0.875</v>
      </c>
      <c r="E19" t="s">
        <v>208</v>
      </c>
      <c r="F19" t="s">
        <v>207</v>
      </c>
      <c r="G19">
        <v>0.66666666666666674</v>
      </c>
      <c r="H19">
        <v>0.53748384988657005</v>
      </c>
    </row>
    <row r="20" spans="1:8" x14ac:dyDescent="0.2">
      <c r="A20" s="5"/>
      <c r="B20" t="s">
        <v>9</v>
      </c>
      <c r="C20">
        <v>0.88541666666666663</v>
      </c>
      <c r="D20">
        <v>0.875</v>
      </c>
      <c r="E20" t="s">
        <v>206</v>
      </c>
      <c r="F20" t="s">
        <v>205</v>
      </c>
      <c r="G20">
        <v>0.92307692307692313</v>
      </c>
      <c r="H20">
        <v>0.71252530319442531</v>
      </c>
    </row>
    <row r="21" spans="1:8" x14ac:dyDescent="0.2">
      <c r="A21" s="5"/>
      <c r="B21" t="s">
        <v>10</v>
      </c>
      <c r="C21">
        <v>0.93240740740740746</v>
      </c>
      <c r="D21">
        <v>0.9375</v>
      </c>
      <c r="E21" t="s">
        <v>202</v>
      </c>
      <c r="F21" t="s">
        <v>201</v>
      </c>
      <c r="G21">
        <v>0.97435897435897445</v>
      </c>
      <c r="H21">
        <v>0.7867957924694432</v>
      </c>
    </row>
    <row r="22" spans="1:8" x14ac:dyDescent="0.2">
      <c r="A22" s="5"/>
      <c r="B22" t="s">
        <v>11</v>
      </c>
      <c r="C22">
        <v>1</v>
      </c>
      <c r="D22">
        <v>1</v>
      </c>
      <c r="E22" t="s">
        <v>204</v>
      </c>
      <c r="F22" t="s">
        <v>203</v>
      </c>
      <c r="G22">
        <v>1</v>
      </c>
      <c r="H22">
        <v>1</v>
      </c>
    </row>
    <row r="23" spans="1:8" x14ac:dyDescent="0.2">
      <c r="A23" s="5"/>
      <c r="B23" t="s">
        <v>12</v>
      </c>
      <c r="C23">
        <v>0.93240740740740746</v>
      </c>
      <c r="D23">
        <v>0.9375</v>
      </c>
      <c r="E23" t="s">
        <v>202</v>
      </c>
      <c r="F23" t="s">
        <v>201</v>
      </c>
      <c r="G23">
        <v>0.94871794871794879</v>
      </c>
      <c r="H23">
        <v>0.7867957924694432</v>
      </c>
    </row>
    <row r="24" spans="1:8" x14ac:dyDescent="0.2">
      <c r="A24" s="5"/>
      <c r="B24" t="s">
        <v>13</v>
      </c>
      <c r="C24">
        <v>0.93240740740740746</v>
      </c>
      <c r="D24">
        <v>0.9375</v>
      </c>
      <c r="E24" t="s">
        <v>202</v>
      </c>
      <c r="F24" t="s">
        <v>201</v>
      </c>
      <c r="G24">
        <v>1</v>
      </c>
      <c r="H24">
        <v>0.7867957924694432</v>
      </c>
    </row>
    <row r="25" spans="1:8" x14ac:dyDescent="0.2">
      <c r="A25" s="6"/>
      <c r="B25" t="s">
        <v>14</v>
      </c>
      <c r="C25">
        <v>0.54166666666666674</v>
      </c>
      <c r="D25">
        <v>0.5</v>
      </c>
      <c r="E25" t="s">
        <v>200</v>
      </c>
      <c r="F25" t="s">
        <v>199</v>
      </c>
      <c r="G25">
        <v>0.41025641025641019</v>
      </c>
      <c r="H25">
        <v>-0.32387513781564792</v>
      </c>
    </row>
    <row r="26" spans="1:8" x14ac:dyDescent="0.2">
      <c r="A26" s="4" t="s">
        <v>126</v>
      </c>
      <c r="B26" t="s">
        <v>7</v>
      </c>
      <c r="C26">
        <v>1</v>
      </c>
      <c r="D26">
        <v>1</v>
      </c>
      <c r="E26" t="s">
        <v>192</v>
      </c>
      <c r="F26" t="s">
        <v>191</v>
      </c>
      <c r="G26">
        <v>1</v>
      </c>
      <c r="H26">
        <v>1</v>
      </c>
    </row>
    <row r="27" spans="1:8" x14ac:dyDescent="0.2">
      <c r="A27" s="5"/>
      <c r="B27" t="s">
        <v>8</v>
      </c>
      <c r="C27">
        <v>0.90370370370370368</v>
      </c>
      <c r="D27">
        <v>0.88888888888888884</v>
      </c>
      <c r="E27" t="s">
        <v>198</v>
      </c>
      <c r="F27" t="s">
        <v>197</v>
      </c>
      <c r="G27">
        <v>0.9375</v>
      </c>
      <c r="H27">
        <v>0.66143782776614757</v>
      </c>
    </row>
    <row r="28" spans="1:8" x14ac:dyDescent="0.2">
      <c r="A28" s="5"/>
      <c r="B28" t="s">
        <v>9</v>
      </c>
      <c r="C28">
        <v>0.93602693602693599</v>
      </c>
      <c r="D28">
        <v>0.94444444444444442</v>
      </c>
      <c r="E28" t="s">
        <v>194</v>
      </c>
      <c r="F28" t="s">
        <v>193</v>
      </c>
      <c r="G28">
        <v>0.75</v>
      </c>
      <c r="H28">
        <v>0.68599434057003528</v>
      </c>
    </row>
    <row r="29" spans="1:8" x14ac:dyDescent="0.2">
      <c r="A29" s="5"/>
      <c r="B29" t="s">
        <v>10</v>
      </c>
      <c r="C29">
        <v>0.84731182795698923</v>
      </c>
      <c r="D29">
        <v>0.83333333333333337</v>
      </c>
      <c r="E29" t="s">
        <v>196</v>
      </c>
      <c r="F29" t="s">
        <v>195</v>
      </c>
      <c r="G29">
        <v>0.875</v>
      </c>
      <c r="H29">
        <v>0.31622776601683789</v>
      </c>
    </row>
    <row r="30" spans="1:8" x14ac:dyDescent="0.2">
      <c r="A30" s="5"/>
      <c r="B30" t="s">
        <v>11</v>
      </c>
      <c r="C30">
        <v>0.93602693602693599</v>
      </c>
      <c r="D30">
        <v>0.94444444444444442</v>
      </c>
      <c r="E30" t="s">
        <v>194</v>
      </c>
      <c r="F30" t="s">
        <v>193</v>
      </c>
      <c r="G30">
        <v>0.75</v>
      </c>
      <c r="H30">
        <v>0.68599434057003528</v>
      </c>
    </row>
    <row r="31" spans="1:8" x14ac:dyDescent="0.2">
      <c r="A31" s="5"/>
      <c r="B31" t="s">
        <v>12</v>
      </c>
      <c r="C31">
        <v>1</v>
      </c>
      <c r="D31">
        <v>1</v>
      </c>
      <c r="E31" t="s">
        <v>192</v>
      </c>
      <c r="F31" t="s">
        <v>191</v>
      </c>
      <c r="G31">
        <v>1</v>
      </c>
      <c r="H31">
        <v>1</v>
      </c>
    </row>
    <row r="32" spans="1:8" x14ac:dyDescent="0.2">
      <c r="A32" s="5"/>
      <c r="B32" t="s">
        <v>13</v>
      </c>
      <c r="C32">
        <v>1</v>
      </c>
      <c r="D32">
        <v>1</v>
      </c>
      <c r="E32" t="s">
        <v>192</v>
      </c>
      <c r="F32" t="s">
        <v>191</v>
      </c>
      <c r="G32">
        <v>1</v>
      </c>
      <c r="H32">
        <v>1</v>
      </c>
    </row>
    <row r="33" spans="1:8" x14ac:dyDescent="0.2">
      <c r="A33" s="6"/>
      <c r="B33" t="s">
        <v>14</v>
      </c>
      <c r="C33">
        <v>0.72619047619047616</v>
      </c>
      <c r="D33">
        <v>0.66666666666666663</v>
      </c>
      <c r="E33" t="s">
        <v>190</v>
      </c>
      <c r="F33" t="s">
        <v>189</v>
      </c>
      <c r="G33">
        <v>0.484375</v>
      </c>
      <c r="H33">
        <v>0.125</v>
      </c>
    </row>
    <row r="34" spans="1:8" x14ac:dyDescent="0.2">
      <c r="A34" s="4" t="s">
        <v>127</v>
      </c>
      <c r="B34" t="s">
        <v>7</v>
      </c>
      <c r="C34">
        <v>0.95669138629555184</v>
      </c>
      <c r="D34">
        <v>0.95674300254452926</v>
      </c>
      <c r="E34" t="s">
        <v>188</v>
      </c>
      <c r="F34" t="s">
        <v>187</v>
      </c>
      <c r="G34">
        <v>0.99378306878306877</v>
      </c>
      <c r="H34">
        <v>0.91153799782591005</v>
      </c>
    </row>
    <row r="35" spans="1:8" x14ac:dyDescent="0.2">
      <c r="A35" s="5"/>
      <c r="B35" t="s">
        <v>8</v>
      </c>
      <c r="C35">
        <v>0.95412432931105662</v>
      </c>
      <c r="D35">
        <v>0.95419847328244278</v>
      </c>
      <c r="E35" t="s">
        <v>186</v>
      </c>
      <c r="F35" t="s">
        <v>185</v>
      </c>
      <c r="G35">
        <v>0.95170634920634922</v>
      </c>
      <c r="H35">
        <v>0.90634266727158308</v>
      </c>
    </row>
    <row r="36" spans="1:8" x14ac:dyDescent="0.2">
      <c r="A36" s="5"/>
      <c r="B36" t="s">
        <v>9</v>
      </c>
      <c r="C36">
        <v>0.95155443021036534</v>
      </c>
      <c r="D36">
        <v>0.95165394402035619</v>
      </c>
      <c r="E36" t="s">
        <v>184</v>
      </c>
      <c r="F36" t="s">
        <v>183</v>
      </c>
      <c r="G36">
        <v>0.94847883597883609</v>
      </c>
      <c r="H36">
        <v>0.90116317072439234</v>
      </c>
    </row>
    <row r="37" spans="1:8" x14ac:dyDescent="0.2">
      <c r="A37" s="5"/>
      <c r="B37" t="s">
        <v>10</v>
      </c>
      <c r="C37">
        <v>0.95167183659491938</v>
      </c>
      <c r="D37">
        <v>0.95165394402035619</v>
      </c>
      <c r="E37" t="s">
        <v>182</v>
      </c>
      <c r="F37" t="s">
        <v>181</v>
      </c>
      <c r="G37">
        <v>0.98444444444444446</v>
      </c>
      <c r="H37">
        <v>0.90131673205221108</v>
      </c>
    </row>
    <row r="38" spans="1:8" x14ac:dyDescent="0.2">
      <c r="A38" s="5"/>
      <c r="B38" t="s">
        <v>11</v>
      </c>
      <c r="C38">
        <v>0.96434874626886202</v>
      </c>
      <c r="D38">
        <v>0.96437659033078882</v>
      </c>
      <c r="E38" t="s">
        <v>180</v>
      </c>
      <c r="F38" t="s">
        <v>179</v>
      </c>
      <c r="G38">
        <v>0.96285714285714286</v>
      </c>
      <c r="H38">
        <v>0.92716257539389324</v>
      </c>
    </row>
    <row r="39" spans="1:8" x14ac:dyDescent="0.2">
      <c r="A39" s="5"/>
      <c r="B39" t="s">
        <v>12</v>
      </c>
      <c r="C39">
        <v>0.95672639662168835</v>
      </c>
      <c r="D39">
        <v>0.95674300254452926</v>
      </c>
      <c r="E39" t="s">
        <v>178</v>
      </c>
      <c r="F39" t="s">
        <v>177</v>
      </c>
      <c r="G39">
        <v>0.98817460317460315</v>
      </c>
      <c r="H39">
        <v>0.91157263902014896</v>
      </c>
    </row>
    <row r="40" spans="1:8" x14ac:dyDescent="0.2">
      <c r="A40" s="5"/>
      <c r="B40" t="s">
        <v>13</v>
      </c>
      <c r="C40">
        <v>0.92315626537876116</v>
      </c>
      <c r="D40">
        <v>0.92366412213740456</v>
      </c>
      <c r="E40" t="s">
        <v>176</v>
      </c>
      <c r="F40" t="s">
        <v>175</v>
      </c>
      <c r="G40">
        <v>0.96722222222222221</v>
      </c>
      <c r="H40">
        <v>0.84467192191070228</v>
      </c>
    </row>
    <row r="41" spans="1:8" x14ac:dyDescent="0.2">
      <c r="A41" s="6"/>
      <c r="B41" t="s">
        <v>14</v>
      </c>
      <c r="C41">
        <v>0.77829395135415047</v>
      </c>
      <c r="D41">
        <v>0.78117048346055984</v>
      </c>
      <c r="E41" t="s">
        <v>174</v>
      </c>
      <c r="F41" t="s">
        <v>173</v>
      </c>
      <c r="G41">
        <v>0.76933862433862421</v>
      </c>
      <c r="H41">
        <v>0.54914861369339596</v>
      </c>
    </row>
    <row r="42" spans="1:8" x14ac:dyDescent="0.2">
      <c r="A42" s="4" t="s">
        <v>128</v>
      </c>
      <c r="B42" t="s">
        <v>7</v>
      </c>
      <c r="C42">
        <v>0.96119910625907579</v>
      </c>
      <c r="D42">
        <v>0.96127562642369024</v>
      </c>
      <c r="E42" t="s">
        <v>172</v>
      </c>
      <c r="F42" t="s">
        <v>171</v>
      </c>
      <c r="G42">
        <v>0.99267929346669503</v>
      </c>
      <c r="H42">
        <v>0.9205498678771401</v>
      </c>
    </row>
    <row r="43" spans="1:8" x14ac:dyDescent="0.2">
      <c r="A43" s="5"/>
      <c r="B43" t="s">
        <v>8</v>
      </c>
      <c r="C43">
        <v>0.93149850689979918</v>
      </c>
      <c r="D43">
        <v>0.93166287015945326</v>
      </c>
      <c r="E43" t="s">
        <v>170</v>
      </c>
      <c r="F43" t="s">
        <v>169</v>
      </c>
      <c r="G43">
        <v>0.92772930410725696</v>
      </c>
      <c r="H43">
        <v>0.85958441719459877</v>
      </c>
    </row>
    <row r="44" spans="1:8" x14ac:dyDescent="0.2">
      <c r="A44" s="5"/>
      <c r="B44" t="s">
        <v>9</v>
      </c>
      <c r="C44">
        <v>0.94540570421583425</v>
      </c>
      <c r="D44">
        <v>0.9453302961275627</v>
      </c>
      <c r="E44" t="s">
        <v>168</v>
      </c>
      <c r="F44" t="s">
        <v>167</v>
      </c>
      <c r="G44">
        <v>0.95169184932964457</v>
      </c>
      <c r="H44">
        <v>0.88837349982522962</v>
      </c>
    </row>
    <row r="45" spans="1:8" x14ac:dyDescent="0.2">
      <c r="A45" s="5"/>
      <c r="B45" t="s">
        <v>10</v>
      </c>
      <c r="C45">
        <v>0.95453314932969135</v>
      </c>
      <c r="D45">
        <v>0.95444191343963558</v>
      </c>
      <c r="E45" t="s">
        <v>166</v>
      </c>
      <c r="F45" t="s">
        <v>165</v>
      </c>
      <c r="G45">
        <v>0.97761225792721851</v>
      </c>
      <c r="H45">
        <v>0.90733893239870811</v>
      </c>
    </row>
    <row r="46" spans="1:8" x14ac:dyDescent="0.2">
      <c r="A46" s="5"/>
      <c r="B46" t="s">
        <v>11</v>
      </c>
      <c r="C46">
        <v>0.96813204196904878</v>
      </c>
      <c r="D46">
        <v>0.96810933940774491</v>
      </c>
      <c r="E46" t="s">
        <v>164</v>
      </c>
      <c r="F46" t="s">
        <v>163</v>
      </c>
      <c r="G46">
        <v>0.96803575228772087</v>
      </c>
      <c r="H46">
        <v>0.93473966858794566</v>
      </c>
    </row>
    <row r="47" spans="1:8" x14ac:dyDescent="0.2">
      <c r="A47" s="5"/>
      <c r="B47" t="s">
        <v>12</v>
      </c>
      <c r="C47">
        <v>0.97041837120498686</v>
      </c>
      <c r="D47">
        <v>0.97038724373576313</v>
      </c>
      <c r="E47" t="s">
        <v>162</v>
      </c>
      <c r="F47" t="s">
        <v>161</v>
      </c>
      <c r="G47">
        <v>0.9836560970419238</v>
      </c>
      <c r="H47">
        <v>0.93949962353823169</v>
      </c>
    </row>
    <row r="48" spans="1:8" x14ac:dyDescent="0.2">
      <c r="A48" s="5"/>
      <c r="B48" t="s">
        <v>13</v>
      </c>
      <c r="C48">
        <v>0.92930363336168031</v>
      </c>
      <c r="D48">
        <v>0.92938496583143504</v>
      </c>
      <c r="E48" t="s">
        <v>160</v>
      </c>
      <c r="F48" t="s">
        <v>159</v>
      </c>
      <c r="G48">
        <v>0.97767610129814853</v>
      </c>
      <c r="H48">
        <v>0.85495726194747523</v>
      </c>
    </row>
    <row r="49" spans="1:8" x14ac:dyDescent="0.2">
      <c r="A49" s="6"/>
      <c r="B49" t="s">
        <v>14</v>
      </c>
      <c r="C49">
        <v>0.75835945252618242</v>
      </c>
      <c r="D49">
        <v>0.75854214123006836</v>
      </c>
      <c r="E49" t="s">
        <v>158</v>
      </c>
      <c r="F49" t="s">
        <v>157</v>
      </c>
      <c r="G49">
        <v>0.75086188550755484</v>
      </c>
      <c r="H49">
        <v>0.50414601937085823</v>
      </c>
    </row>
    <row r="50" spans="1:8" x14ac:dyDescent="0.2">
      <c r="A50" s="4" t="s">
        <v>129</v>
      </c>
      <c r="B50" t="s">
        <v>7</v>
      </c>
      <c r="C50">
        <v>0.9439696191487803</v>
      </c>
      <c r="D50">
        <v>0.9438202247191011</v>
      </c>
      <c r="E50" t="s">
        <v>152</v>
      </c>
      <c r="F50" t="s">
        <v>151</v>
      </c>
      <c r="G50">
        <v>0.98368983957219247</v>
      </c>
      <c r="H50">
        <v>0.88192737004312327</v>
      </c>
    </row>
    <row r="51" spans="1:8" x14ac:dyDescent="0.2">
      <c r="A51" s="5"/>
      <c r="B51" t="s">
        <v>8</v>
      </c>
      <c r="C51">
        <v>0.92111564860181327</v>
      </c>
      <c r="D51">
        <v>0.9213483146067416</v>
      </c>
      <c r="E51" t="s">
        <v>156</v>
      </c>
      <c r="F51" t="s">
        <v>155</v>
      </c>
      <c r="G51">
        <v>0.91390374331550794</v>
      </c>
      <c r="H51">
        <v>0.83272033383706989</v>
      </c>
    </row>
    <row r="52" spans="1:8" x14ac:dyDescent="0.2">
      <c r="A52" s="5"/>
      <c r="B52" t="s">
        <v>9</v>
      </c>
      <c r="C52">
        <v>0.87673316212731678</v>
      </c>
      <c r="D52">
        <v>0.8764044943820225</v>
      </c>
      <c r="E52" t="s">
        <v>154</v>
      </c>
      <c r="F52" t="s">
        <v>153</v>
      </c>
      <c r="G52">
        <v>0.87192513368983959</v>
      </c>
      <c r="H52">
        <v>0.73990408427622711</v>
      </c>
    </row>
    <row r="53" spans="1:8" x14ac:dyDescent="0.2">
      <c r="A53" s="5"/>
      <c r="B53" t="s">
        <v>10</v>
      </c>
      <c r="C53">
        <v>0.87673316212731678</v>
      </c>
      <c r="D53">
        <v>0.8764044943820225</v>
      </c>
      <c r="E53" t="s">
        <v>154</v>
      </c>
      <c r="F53" t="s">
        <v>153</v>
      </c>
      <c r="G53">
        <v>0.94117647058823528</v>
      </c>
      <c r="H53">
        <v>0.73990408427622711</v>
      </c>
    </row>
    <row r="54" spans="1:8" x14ac:dyDescent="0.2">
      <c r="A54" s="5"/>
      <c r="B54" t="s">
        <v>11</v>
      </c>
      <c r="C54">
        <v>0.9439696191487803</v>
      </c>
      <c r="D54">
        <v>0.9438202247191011</v>
      </c>
      <c r="E54" t="s">
        <v>152</v>
      </c>
      <c r="F54" t="s">
        <v>151</v>
      </c>
      <c r="G54">
        <v>0.9433155080213903</v>
      </c>
      <c r="H54">
        <v>0.88192737004312327</v>
      </c>
    </row>
    <row r="55" spans="1:8" x14ac:dyDescent="0.2">
      <c r="A55" s="5"/>
      <c r="B55" t="s">
        <v>12</v>
      </c>
      <c r="C55">
        <v>0.93292313179953634</v>
      </c>
      <c r="D55">
        <v>0.93258426966292129</v>
      </c>
      <c r="E55" t="s">
        <v>150</v>
      </c>
      <c r="F55" t="s">
        <v>149</v>
      </c>
      <c r="G55">
        <v>0.96524064171123003</v>
      </c>
      <c r="H55">
        <v>0.85975762555459079</v>
      </c>
    </row>
    <row r="56" spans="1:8" x14ac:dyDescent="0.2">
      <c r="A56" s="5"/>
      <c r="B56" t="s">
        <v>13</v>
      </c>
      <c r="C56">
        <v>0.90808763794978187</v>
      </c>
      <c r="D56">
        <v>0.9101123595505618</v>
      </c>
      <c r="E56" t="s">
        <v>148</v>
      </c>
      <c r="F56" t="s">
        <v>147</v>
      </c>
      <c r="G56">
        <v>0.95775401069518717</v>
      </c>
      <c r="H56">
        <v>0.8119002516073216</v>
      </c>
    </row>
    <row r="57" spans="1:8" x14ac:dyDescent="0.2">
      <c r="A57" s="6"/>
      <c r="B57" t="s">
        <v>14</v>
      </c>
      <c r="C57">
        <v>0.74499372920161377</v>
      </c>
      <c r="D57">
        <v>0.7415730337078652</v>
      </c>
      <c r="E57" t="s">
        <v>146</v>
      </c>
      <c r="F57" t="s">
        <v>145</v>
      </c>
      <c r="G57">
        <v>0.80855614973262036</v>
      </c>
      <c r="H57">
        <v>0.51163369738975362</v>
      </c>
    </row>
    <row r="58" spans="1:8" x14ac:dyDescent="0.2">
      <c r="A58" s="4" t="s">
        <v>130</v>
      </c>
      <c r="B58" t="s">
        <v>7</v>
      </c>
      <c r="C58">
        <v>0.95728963075716578</v>
      </c>
      <c r="D58">
        <v>0.95735607675906187</v>
      </c>
      <c r="E58" t="s">
        <v>136</v>
      </c>
      <c r="F58" t="s">
        <v>135</v>
      </c>
      <c r="G58">
        <v>0.99538648699232635</v>
      </c>
      <c r="H58">
        <v>0.91210265728468176</v>
      </c>
    </row>
    <row r="59" spans="1:8" x14ac:dyDescent="0.2">
      <c r="A59" s="5"/>
      <c r="B59" t="s">
        <v>8</v>
      </c>
      <c r="C59">
        <v>0.94456289978678043</v>
      </c>
      <c r="D59">
        <v>0.94456289978678043</v>
      </c>
      <c r="E59" t="s">
        <v>144</v>
      </c>
      <c r="F59" t="s">
        <v>143</v>
      </c>
      <c r="G59">
        <v>0.94294403892944045</v>
      </c>
      <c r="H59">
        <v>0.8858880778588808</v>
      </c>
    </row>
    <row r="60" spans="1:8" x14ac:dyDescent="0.2">
      <c r="A60" s="5"/>
      <c r="B60" t="s">
        <v>9</v>
      </c>
      <c r="C60">
        <v>0.92107918932077038</v>
      </c>
      <c r="D60">
        <v>0.9211087420042644</v>
      </c>
      <c r="E60" t="s">
        <v>142</v>
      </c>
      <c r="F60" t="s">
        <v>141</v>
      </c>
      <c r="G60">
        <v>0.92393786262399391</v>
      </c>
      <c r="H60">
        <v>0.83749789378416772</v>
      </c>
    </row>
    <row r="61" spans="1:8" x14ac:dyDescent="0.2">
      <c r="A61" s="5"/>
      <c r="B61" t="s">
        <v>10</v>
      </c>
      <c r="C61">
        <v>0.94452081539017985</v>
      </c>
      <c r="D61">
        <v>0.94456289978678043</v>
      </c>
      <c r="E61" t="s">
        <v>140</v>
      </c>
      <c r="F61" t="s">
        <v>139</v>
      </c>
      <c r="G61">
        <v>0.97915029009919519</v>
      </c>
      <c r="H61">
        <v>0.88575333119956823</v>
      </c>
    </row>
    <row r="62" spans="1:8" x14ac:dyDescent="0.2">
      <c r="A62" s="5"/>
      <c r="B62" t="s">
        <v>11</v>
      </c>
      <c r="C62">
        <v>0.9680050767516637</v>
      </c>
      <c r="D62">
        <v>0.96801705756929635</v>
      </c>
      <c r="E62" t="s">
        <v>138</v>
      </c>
      <c r="F62" t="s">
        <v>137</v>
      </c>
      <c r="G62">
        <v>0.96671345685944221</v>
      </c>
      <c r="H62">
        <v>0.93412650303479439</v>
      </c>
    </row>
    <row r="63" spans="1:8" x14ac:dyDescent="0.2">
      <c r="A63" s="5"/>
      <c r="B63" t="s">
        <v>12</v>
      </c>
      <c r="C63">
        <v>0.95728963075716578</v>
      </c>
      <c r="D63">
        <v>0.95735607675906187</v>
      </c>
      <c r="E63" t="s">
        <v>136</v>
      </c>
      <c r="F63" t="s">
        <v>135</v>
      </c>
      <c r="G63">
        <v>0.9888452180422983</v>
      </c>
      <c r="H63">
        <v>0.91210265728468176</v>
      </c>
    </row>
    <row r="64" spans="1:8" x14ac:dyDescent="0.2">
      <c r="A64" s="5"/>
      <c r="B64" t="s">
        <v>13</v>
      </c>
      <c r="C64">
        <v>0.92901470485249704</v>
      </c>
      <c r="D64">
        <v>0.92963752665245203</v>
      </c>
      <c r="E64" t="s">
        <v>134</v>
      </c>
      <c r="F64" t="s">
        <v>133</v>
      </c>
      <c r="G64">
        <v>0.96573086281115483</v>
      </c>
      <c r="H64">
        <v>0.8561699891328014</v>
      </c>
    </row>
    <row r="65" spans="1:8" x14ac:dyDescent="0.2">
      <c r="A65" s="6"/>
      <c r="B65" t="s">
        <v>14</v>
      </c>
      <c r="C65">
        <v>0.81285694915658302</v>
      </c>
      <c r="D65">
        <v>0.81449893390191896</v>
      </c>
      <c r="E65" t="s">
        <v>132</v>
      </c>
      <c r="F65" t="s">
        <v>131</v>
      </c>
      <c r="G65">
        <v>0.79411379374883029</v>
      </c>
      <c r="H65">
        <v>0.61492745842835195</v>
      </c>
    </row>
  </sheetData>
  <mergeCells count="8">
    <mergeCell ref="A50:A57"/>
    <mergeCell ref="A58:A65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E007-CDE9-4B46-A413-D0C9E5FAF7B9}">
  <dimension ref="A1:G65"/>
  <sheetViews>
    <sheetView topLeftCell="A41" workbookViewId="0">
      <selection activeCell="E71" sqref="E71"/>
    </sheetView>
  </sheetViews>
  <sheetFormatPr baseColWidth="10" defaultColWidth="8.83203125" defaultRowHeight="15" x14ac:dyDescent="0.2"/>
  <cols>
    <col min="2" max="2" width="19.33203125" customWidth="1"/>
    <col min="3" max="3" width="14.5" customWidth="1"/>
    <col min="4" max="4" width="12.83203125" customWidth="1"/>
    <col min="5" max="5" width="21.6640625" customWidth="1"/>
    <col min="6" max="6" width="33.1640625" customWidth="1"/>
    <col min="7" max="7" width="15.1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2">
      <c r="A2" s="12" t="s">
        <v>123</v>
      </c>
      <c r="B2" t="s">
        <v>7</v>
      </c>
      <c r="C2">
        <v>0.839267416644077</v>
      </c>
      <c r="D2">
        <v>0.83961146321300628</v>
      </c>
      <c r="E2" t="s">
        <v>366</v>
      </c>
      <c r="F2" t="s">
        <v>365</v>
      </c>
      <c r="G2">
        <v>0.67484059662276086</v>
      </c>
    </row>
    <row r="3" spans="1:7" x14ac:dyDescent="0.2">
      <c r="A3" s="10"/>
      <c r="B3" t="s">
        <v>8</v>
      </c>
      <c r="C3">
        <v>0.82133905431585352</v>
      </c>
      <c r="D3">
        <v>0.8232157619178837</v>
      </c>
      <c r="E3" t="s">
        <v>364</v>
      </c>
      <c r="F3" t="s">
        <v>363</v>
      </c>
      <c r="G3">
        <v>0.63872951875512973</v>
      </c>
    </row>
    <row r="4" spans="1:7" x14ac:dyDescent="0.2">
      <c r="A4" s="10"/>
      <c r="B4" t="s">
        <v>9</v>
      </c>
      <c r="C4">
        <v>0.78141713951061109</v>
      </c>
      <c r="D4">
        <v>0.78136952328465137</v>
      </c>
      <c r="E4" t="s">
        <v>362</v>
      </c>
      <c r="F4" t="s">
        <v>361</v>
      </c>
      <c r="G4">
        <v>0.55985772328755834</v>
      </c>
    </row>
    <row r="5" spans="1:7" x14ac:dyDescent="0.2">
      <c r="A5" s="10"/>
      <c r="B5" t="s">
        <v>10</v>
      </c>
      <c r="C5">
        <v>0.82746060648690944</v>
      </c>
      <c r="D5">
        <v>0.82749242215486363</v>
      </c>
      <c r="E5" t="s">
        <v>360</v>
      </c>
      <c r="F5" t="s">
        <v>359</v>
      </c>
      <c r="G5">
        <v>0.65204591512553167</v>
      </c>
    </row>
    <row r="6" spans="1:7" x14ac:dyDescent="0.2">
      <c r="A6" s="10"/>
      <c r="B6" t="s">
        <v>11</v>
      </c>
      <c r="C6">
        <v>0.8124736427288809</v>
      </c>
      <c r="D6">
        <v>0.81233948746211093</v>
      </c>
      <c r="E6" t="s">
        <v>358</v>
      </c>
      <c r="F6" t="s">
        <v>357</v>
      </c>
      <c r="G6">
        <v>0.62490462333397534</v>
      </c>
    </row>
    <row r="7" spans="1:7" x14ac:dyDescent="0.2">
      <c r="A7" s="10"/>
      <c r="B7" t="s">
        <v>12</v>
      </c>
      <c r="C7">
        <v>0.85876959973158429</v>
      </c>
      <c r="D7">
        <v>0.85950675117112163</v>
      </c>
      <c r="E7" t="s">
        <v>356</v>
      </c>
      <c r="F7" t="s">
        <v>355</v>
      </c>
      <c r="G7">
        <v>0.71467397882274908</v>
      </c>
    </row>
    <row r="8" spans="1:7" x14ac:dyDescent="0.2">
      <c r="A8" s="10"/>
      <c r="B8" t="s">
        <v>13</v>
      </c>
      <c r="C8">
        <v>0.85374936836600868</v>
      </c>
      <c r="D8">
        <v>0.85426012675668228</v>
      </c>
      <c r="E8" t="s">
        <v>354</v>
      </c>
      <c r="F8" t="s">
        <v>353</v>
      </c>
      <c r="G8">
        <v>0.70406114023943911</v>
      </c>
    </row>
    <row r="9" spans="1:7" x14ac:dyDescent="0.2">
      <c r="A9" s="11"/>
      <c r="B9" t="s">
        <v>14</v>
      </c>
      <c r="C9">
        <v>0.60467745125129357</v>
      </c>
      <c r="D9">
        <v>0.60432626067787265</v>
      </c>
      <c r="E9" t="s">
        <v>352</v>
      </c>
      <c r="F9" t="s">
        <v>351</v>
      </c>
      <c r="G9">
        <v>0.20254698079047789</v>
      </c>
    </row>
    <row r="10" spans="1:7" x14ac:dyDescent="0.2">
      <c r="A10" s="9" t="s">
        <v>124</v>
      </c>
      <c r="B10" t="s">
        <v>7</v>
      </c>
      <c r="C10">
        <v>0.88347444003858111</v>
      </c>
      <c r="D10">
        <v>0.88571428571428579</v>
      </c>
      <c r="E10" t="s">
        <v>350</v>
      </c>
      <c r="F10" t="s">
        <v>349</v>
      </c>
      <c r="G10">
        <v>0.78454932500246155</v>
      </c>
    </row>
    <row r="11" spans="1:7" x14ac:dyDescent="0.2">
      <c r="A11" s="10"/>
      <c r="B11" t="s">
        <v>8</v>
      </c>
      <c r="C11">
        <v>0.81383907098192809</v>
      </c>
      <c r="D11">
        <v>0.84761904761904761</v>
      </c>
      <c r="E11" t="s">
        <v>348</v>
      </c>
      <c r="F11" t="s">
        <v>347</v>
      </c>
      <c r="G11">
        <v>0.6257578086401071</v>
      </c>
    </row>
    <row r="12" spans="1:7" x14ac:dyDescent="0.2">
      <c r="A12" s="10"/>
      <c r="B12" t="s">
        <v>9</v>
      </c>
      <c r="C12">
        <v>0.86202735675317665</v>
      </c>
      <c r="D12">
        <v>0.86190476190476184</v>
      </c>
      <c r="E12" t="s">
        <v>346</v>
      </c>
      <c r="F12" t="s">
        <v>345</v>
      </c>
      <c r="G12">
        <v>0.72310118121684586</v>
      </c>
    </row>
    <row r="13" spans="1:7" x14ac:dyDescent="0.2">
      <c r="A13" s="10"/>
      <c r="B13" t="s">
        <v>10</v>
      </c>
      <c r="C13">
        <v>0.87471888003042242</v>
      </c>
      <c r="D13">
        <v>0.87619047619047608</v>
      </c>
      <c r="E13" t="s">
        <v>344</v>
      </c>
      <c r="F13" t="s">
        <v>343</v>
      </c>
      <c r="G13">
        <v>0.757152543206976</v>
      </c>
    </row>
    <row r="14" spans="1:7" x14ac:dyDescent="0.2">
      <c r="A14" s="10"/>
      <c r="B14" t="s">
        <v>11</v>
      </c>
      <c r="C14">
        <v>0.88848466207760401</v>
      </c>
      <c r="D14">
        <v>0.89047619047619053</v>
      </c>
      <c r="E14" t="s">
        <v>342</v>
      </c>
      <c r="F14" t="s">
        <v>341</v>
      </c>
      <c r="G14">
        <v>0.79296874858714561</v>
      </c>
    </row>
    <row r="15" spans="1:7" x14ac:dyDescent="0.2">
      <c r="A15" s="10"/>
      <c r="B15" t="s">
        <v>12</v>
      </c>
      <c r="C15">
        <v>0.9280822933032935</v>
      </c>
      <c r="D15">
        <v>0.92857142857142849</v>
      </c>
      <c r="E15" t="s">
        <v>340</v>
      </c>
      <c r="F15" t="s">
        <v>339</v>
      </c>
      <c r="G15">
        <v>0.86001174978552775</v>
      </c>
    </row>
    <row r="16" spans="1:7" x14ac:dyDescent="0.2">
      <c r="A16" s="10"/>
      <c r="B16" t="s">
        <v>13</v>
      </c>
      <c r="C16">
        <v>0.86655701754385961</v>
      </c>
      <c r="D16">
        <v>0.86666666666666659</v>
      </c>
      <c r="E16" t="s">
        <v>338</v>
      </c>
      <c r="F16" t="s">
        <v>337</v>
      </c>
      <c r="G16">
        <v>0.73151885492104141</v>
      </c>
    </row>
    <row r="17" spans="1:7" x14ac:dyDescent="0.2">
      <c r="A17" s="11"/>
      <c r="B17" t="s">
        <v>14</v>
      </c>
      <c r="C17">
        <v>0.76674603354573434</v>
      </c>
      <c r="D17">
        <v>0.76666666666666672</v>
      </c>
      <c r="E17" t="s">
        <v>336</v>
      </c>
      <c r="F17" t="s">
        <v>335</v>
      </c>
      <c r="G17">
        <v>0.54118625041608637</v>
      </c>
    </row>
    <row r="18" spans="1:7" x14ac:dyDescent="0.2">
      <c r="A18" s="9" t="s">
        <v>125</v>
      </c>
      <c r="B18" t="s">
        <v>7</v>
      </c>
      <c r="C18">
        <v>0.96046401928754876</v>
      </c>
      <c r="D18">
        <v>0.96250000000000002</v>
      </c>
      <c r="E18" t="s">
        <v>334</v>
      </c>
      <c r="F18" t="s">
        <v>333</v>
      </c>
      <c r="G18">
        <v>0.89899762030356634</v>
      </c>
    </row>
    <row r="19" spans="1:7" x14ac:dyDescent="0.2">
      <c r="A19" s="10"/>
      <c r="B19" t="s">
        <v>8</v>
      </c>
      <c r="C19">
        <v>0.88139205786264596</v>
      </c>
      <c r="D19">
        <v>0.88571428571428579</v>
      </c>
      <c r="E19" t="s">
        <v>330</v>
      </c>
      <c r="F19" t="s">
        <v>329</v>
      </c>
      <c r="G19">
        <v>0.68564524388263881</v>
      </c>
    </row>
    <row r="20" spans="1:7" x14ac:dyDescent="0.2">
      <c r="A20" s="10"/>
      <c r="B20" t="s">
        <v>9</v>
      </c>
      <c r="C20">
        <v>0.85428156748911455</v>
      </c>
      <c r="D20">
        <v>0.84285714285714286</v>
      </c>
      <c r="E20" t="s">
        <v>332</v>
      </c>
      <c r="F20" t="s">
        <v>331</v>
      </c>
      <c r="G20">
        <v>0.68243036780066557</v>
      </c>
    </row>
    <row r="21" spans="1:7" x14ac:dyDescent="0.2">
      <c r="A21" s="10"/>
      <c r="B21" t="s">
        <v>10</v>
      </c>
      <c r="C21">
        <v>0.88139205786264596</v>
      </c>
      <c r="D21">
        <v>0.8839285714285714</v>
      </c>
      <c r="E21" t="s">
        <v>330</v>
      </c>
      <c r="F21" t="s">
        <v>329</v>
      </c>
      <c r="G21">
        <v>0.68564524388263881</v>
      </c>
    </row>
    <row r="22" spans="1:7" x14ac:dyDescent="0.2">
      <c r="A22" s="10"/>
      <c r="B22" t="s">
        <v>11</v>
      </c>
      <c r="C22">
        <v>0.76100998238402817</v>
      </c>
      <c r="D22">
        <v>0.80535714285714288</v>
      </c>
      <c r="E22" t="s">
        <v>328</v>
      </c>
      <c r="F22" t="s">
        <v>327</v>
      </c>
      <c r="G22">
        <v>0.44567941054787508</v>
      </c>
    </row>
    <row r="23" spans="1:7" x14ac:dyDescent="0.2">
      <c r="A23" s="10"/>
      <c r="B23" t="s">
        <v>12</v>
      </c>
      <c r="C23">
        <v>0.93264311446129633</v>
      </c>
      <c r="D23">
        <v>0.93571428571428572</v>
      </c>
      <c r="E23" t="s">
        <v>326</v>
      </c>
      <c r="F23" t="s">
        <v>325</v>
      </c>
      <c r="G23">
        <v>0.83094896983881661</v>
      </c>
    </row>
    <row r="24" spans="1:7" x14ac:dyDescent="0.2">
      <c r="A24" s="10"/>
      <c r="B24" t="s">
        <v>13</v>
      </c>
      <c r="C24">
        <v>0.973901507353782</v>
      </c>
      <c r="D24">
        <v>0.97499999999999998</v>
      </c>
      <c r="E24" t="s">
        <v>324</v>
      </c>
      <c r="F24" t="s">
        <v>323</v>
      </c>
      <c r="G24">
        <v>0.93273790530888157</v>
      </c>
    </row>
    <row r="25" spans="1:7" x14ac:dyDescent="0.2">
      <c r="A25" s="11"/>
      <c r="B25" t="s">
        <v>14</v>
      </c>
      <c r="C25">
        <v>0.68200233841803304</v>
      </c>
      <c r="D25">
        <v>0.67500000000000004</v>
      </c>
      <c r="E25" t="s">
        <v>322</v>
      </c>
      <c r="F25" t="s">
        <v>321</v>
      </c>
      <c r="G25">
        <v>0.1731227322600962</v>
      </c>
    </row>
    <row r="26" spans="1:7" x14ac:dyDescent="0.2">
      <c r="A26" s="9" t="s">
        <v>126</v>
      </c>
      <c r="B26" t="s">
        <v>7</v>
      </c>
      <c r="C26">
        <v>0.87373737373737359</v>
      </c>
      <c r="D26">
        <v>0.86666666666666659</v>
      </c>
      <c r="E26" t="s">
        <v>320</v>
      </c>
      <c r="F26" t="s">
        <v>319</v>
      </c>
      <c r="G26">
        <v>0.67993435767279065</v>
      </c>
    </row>
    <row r="27" spans="1:7" x14ac:dyDescent="0.2">
      <c r="A27" s="10"/>
      <c r="B27" t="s">
        <v>8</v>
      </c>
      <c r="C27">
        <v>0.88888888888888884</v>
      </c>
      <c r="D27">
        <v>0.83333333333333337</v>
      </c>
      <c r="E27" t="s">
        <v>318</v>
      </c>
      <c r="F27" t="s">
        <v>317</v>
      </c>
      <c r="G27">
        <v>0.6785714285714286</v>
      </c>
    </row>
    <row r="28" spans="1:7" x14ac:dyDescent="0.2">
      <c r="A28" s="10"/>
      <c r="B28" t="s">
        <v>9</v>
      </c>
      <c r="C28">
        <v>0.87800300300300305</v>
      </c>
      <c r="D28">
        <v>0.88888888888888895</v>
      </c>
      <c r="E28" t="s">
        <v>316</v>
      </c>
      <c r="F28" t="s">
        <v>315</v>
      </c>
      <c r="G28">
        <v>0.65517802295119898</v>
      </c>
    </row>
    <row r="29" spans="1:7" x14ac:dyDescent="0.2">
      <c r="A29" s="10"/>
      <c r="B29" t="s">
        <v>10</v>
      </c>
      <c r="C29">
        <v>0.70795698924731187</v>
      </c>
      <c r="D29">
        <v>0.76666666666666672</v>
      </c>
      <c r="E29" t="s">
        <v>314</v>
      </c>
      <c r="F29" t="s">
        <v>313</v>
      </c>
      <c r="G29">
        <v>0.10371259576834629</v>
      </c>
    </row>
    <row r="30" spans="1:7" x14ac:dyDescent="0.2">
      <c r="A30" s="10"/>
      <c r="B30" t="s">
        <v>11</v>
      </c>
      <c r="C30">
        <v>0.75574712643678166</v>
      </c>
      <c r="D30">
        <v>0.73333333333333339</v>
      </c>
      <c r="E30" t="s">
        <v>312</v>
      </c>
      <c r="F30" t="s">
        <v>311</v>
      </c>
      <c r="G30">
        <v>0.54653572500002112</v>
      </c>
    </row>
    <row r="31" spans="1:7" x14ac:dyDescent="0.2">
      <c r="A31" s="10"/>
      <c r="B31" t="s">
        <v>12</v>
      </c>
      <c r="C31">
        <v>0.90239348158207422</v>
      </c>
      <c r="D31">
        <v>0.9</v>
      </c>
      <c r="E31" t="s">
        <v>310</v>
      </c>
      <c r="F31" t="s">
        <v>309</v>
      </c>
      <c r="G31">
        <v>0.72848135452960205</v>
      </c>
    </row>
    <row r="32" spans="1:7" x14ac:dyDescent="0.2">
      <c r="A32" s="10"/>
      <c r="B32" t="s">
        <v>13</v>
      </c>
      <c r="C32">
        <v>0.84335839598997497</v>
      </c>
      <c r="D32">
        <v>0.86666666666666681</v>
      </c>
      <c r="E32" t="s">
        <v>308</v>
      </c>
      <c r="F32" t="s">
        <v>307</v>
      </c>
      <c r="G32">
        <v>0.58434870979077747</v>
      </c>
    </row>
    <row r="33" spans="1:7" x14ac:dyDescent="0.2">
      <c r="A33" s="11"/>
      <c r="B33" t="s">
        <v>14</v>
      </c>
      <c r="C33">
        <v>0.75504051253061999</v>
      </c>
      <c r="D33">
        <v>0.73333333333333339</v>
      </c>
      <c r="E33" t="s">
        <v>306</v>
      </c>
      <c r="F33" t="s">
        <v>305</v>
      </c>
      <c r="G33">
        <v>0.46294909260973621</v>
      </c>
    </row>
    <row r="34" spans="1:7" x14ac:dyDescent="0.2">
      <c r="A34" s="9" t="s">
        <v>127</v>
      </c>
      <c r="B34" t="s">
        <v>7</v>
      </c>
      <c r="C34">
        <v>0.83972706591547586</v>
      </c>
      <c r="D34">
        <v>0.84043302600227909</v>
      </c>
      <c r="E34" t="s">
        <v>304</v>
      </c>
      <c r="F34" t="s">
        <v>303</v>
      </c>
      <c r="G34">
        <v>0.67509532592071275</v>
      </c>
    </row>
    <row r="35" spans="1:7" x14ac:dyDescent="0.2">
      <c r="A35" s="10"/>
      <c r="B35" t="s">
        <v>8</v>
      </c>
      <c r="C35">
        <v>0.79854337622854732</v>
      </c>
      <c r="D35">
        <v>0.78294830622604372</v>
      </c>
      <c r="E35" t="s">
        <v>302</v>
      </c>
      <c r="F35" t="s">
        <v>301</v>
      </c>
      <c r="G35">
        <v>0.59179816372514882</v>
      </c>
    </row>
    <row r="36" spans="1:7" x14ac:dyDescent="0.2">
      <c r="A36" s="10"/>
      <c r="B36" t="s">
        <v>9</v>
      </c>
      <c r="C36">
        <v>0.75259833848089785</v>
      </c>
      <c r="D36">
        <v>0.75240598777582102</v>
      </c>
      <c r="E36" t="s">
        <v>300</v>
      </c>
      <c r="F36" t="s">
        <v>299</v>
      </c>
      <c r="G36">
        <v>0.50003133884084938</v>
      </c>
    </row>
    <row r="37" spans="1:7" x14ac:dyDescent="0.2">
      <c r="A37" s="10"/>
      <c r="B37" t="s">
        <v>10</v>
      </c>
      <c r="C37">
        <v>0.78863083353339858</v>
      </c>
      <c r="D37">
        <v>0.78897234020511742</v>
      </c>
      <c r="E37" t="s">
        <v>298</v>
      </c>
      <c r="F37" t="s">
        <v>297</v>
      </c>
      <c r="G37">
        <v>0.57128225598821891</v>
      </c>
    </row>
    <row r="38" spans="1:7" x14ac:dyDescent="0.2">
      <c r="A38" s="10"/>
      <c r="B38" t="s">
        <v>11</v>
      </c>
      <c r="C38">
        <v>0.80674287066248085</v>
      </c>
      <c r="D38">
        <v>0.80640733450740709</v>
      </c>
      <c r="E38" t="s">
        <v>296</v>
      </c>
      <c r="F38" t="s">
        <v>295</v>
      </c>
      <c r="G38">
        <v>0.61447368286315351</v>
      </c>
    </row>
    <row r="39" spans="1:7" x14ac:dyDescent="0.2">
      <c r="A39" s="10"/>
      <c r="B39" t="s">
        <v>12</v>
      </c>
      <c r="C39">
        <v>0.82985163401489404</v>
      </c>
      <c r="D39">
        <v>0.83024189371179946</v>
      </c>
      <c r="E39" t="s">
        <v>294</v>
      </c>
      <c r="F39" t="s">
        <v>293</v>
      </c>
      <c r="G39">
        <v>0.65488416581155184</v>
      </c>
    </row>
    <row r="40" spans="1:7" x14ac:dyDescent="0.2">
      <c r="A40" s="10"/>
      <c r="B40" t="s">
        <v>13</v>
      </c>
      <c r="C40">
        <v>0.81190898998074501</v>
      </c>
      <c r="D40">
        <v>0.81185641769398109</v>
      </c>
      <c r="E40" t="s">
        <v>292</v>
      </c>
      <c r="F40" t="s">
        <v>291</v>
      </c>
      <c r="G40">
        <v>0.61935474733273077</v>
      </c>
    </row>
    <row r="41" spans="1:7" x14ac:dyDescent="0.2">
      <c r="A41" s="11"/>
      <c r="B41" t="s">
        <v>14</v>
      </c>
      <c r="C41">
        <v>0.63168031411481906</v>
      </c>
      <c r="D41">
        <v>0.63179581477260949</v>
      </c>
      <c r="E41" t="s">
        <v>290</v>
      </c>
      <c r="F41" t="s">
        <v>289</v>
      </c>
      <c r="G41">
        <v>0.25367574890680161</v>
      </c>
    </row>
    <row r="42" spans="1:7" x14ac:dyDescent="0.2">
      <c r="A42" s="9" t="s">
        <v>128</v>
      </c>
      <c r="B42" t="s">
        <v>7</v>
      </c>
      <c r="C42">
        <v>0.80791582052867861</v>
      </c>
      <c r="D42">
        <v>0.80775633042756334</v>
      </c>
      <c r="E42" t="s">
        <v>288</v>
      </c>
      <c r="F42" t="s">
        <v>287</v>
      </c>
      <c r="G42">
        <v>0.61471471179024262</v>
      </c>
    </row>
    <row r="43" spans="1:7" x14ac:dyDescent="0.2">
      <c r="A43" s="10"/>
      <c r="B43" t="s">
        <v>8</v>
      </c>
      <c r="C43">
        <v>0.78280348215690665</v>
      </c>
      <c r="D43">
        <v>0.78580738895807389</v>
      </c>
      <c r="E43" t="s">
        <v>286</v>
      </c>
      <c r="F43" t="s">
        <v>285</v>
      </c>
      <c r="G43">
        <v>0.56303961968431593</v>
      </c>
    </row>
    <row r="44" spans="1:7" x14ac:dyDescent="0.2">
      <c r="A44" s="10"/>
      <c r="B44" t="s">
        <v>9</v>
      </c>
      <c r="C44">
        <v>0.7411898411121759</v>
      </c>
      <c r="D44">
        <v>0.7411249481112494</v>
      </c>
      <c r="E44" t="s">
        <v>284</v>
      </c>
      <c r="F44" t="s">
        <v>283</v>
      </c>
      <c r="G44">
        <v>0.49335568432895283</v>
      </c>
    </row>
    <row r="45" spans="1:7" x14ac:dyDescent="0.2">
      <c r="A45" s="10"/>
      <c r="B45" t="s">
        <v>10</v>
      </c>
      <c r="C45">
        <v>0.75518845866106588</v>
      </c>
      <c r="D45">
        <v>0.75472187629721865</v>
      </c>
      <c r="E45" t="s">
        <v>282</v>
      </c>
      <c r="F45" t="s">
        <v>281</v>
      </c>
      <c r="G45">
        <v>0.51018509708166138</v>
      </c>
    </row>
    <row r="46" spans="1:7" x14ac:dyDescent="0.2">
      <c r="A46" s="10"/>
      <c r="B46" t="s">
        <v>11</v>
      </c>
      <c r="C46">
        <v>0.79465009499865547</v>
      </c>
      <c r="D46">
        <v>0.79449564134495643</v>
      </c>
      <c r="E46" t="s">
        <v>280</v>
      </c>
      <c r="F46" t="s">
        <v>279</v>
      </c>
      <c r="G46">
        <v>0.59775224466015364</v>
      </c>
    </row>
    <row r="47" spans="1:7" x14ac:dyDescent="0.2">
      <c r="A47" s="10"/>
      <c r="B47" t="s">
        <v>12</v>
      </c>
      <c r="C47">
        <v>0.78838379843621198</v>
      </c>
      <c r="D47">
        <v>0.78810087173100862</v>
      </c>
      <c r="E47" t="s">
        <v>278</v>
      </c>
      <c r="F47" t="s">
        <v>277</v>
      </c>
      <c r="G47">
        <v>0.57624337974539341</v>
      </c>
    </row>
    <row r="48" spans="1:7" x14ac:dyDescent="0.2">
      <c r="A48" s="10"/>
      <c r="B48" t="s">
        <v>13</v>
      </c>
      <c r="C48">
        <v>0.78424476869707904</v>
      </c>
      <c r="D48">
        <v>0.78393939393939394</v>
      </c>
      <c r="E48" t="s">
        <v>276</v>
      </c>
      <c r="F48" t="s">
        <v>275</v>
      </c>
      <c r="G48">
        <v>0.57486377875778094</v>
      </c>
    </row>
    <row r="49" spans="1:7" x14ac:dyDescent="0.2">
      <c r="A49" s="11"/>
      <c r="B49" t="s">
        <v>14</v>
      </c>
      <c r="C49">
        <v>0.65945793201481739</v>
      </c>
      <c r="D49">
        <v>0.66080738895807389</v>
      </c>
      <c r="E49" t="s">
        <v>274</v>
      </c>
      <c r="F49" t="s">
        <v>273</v>
      </c>
      <c r="G49">
        <v>0.31078433569297392</v>
      </c>
    </row>
    <row r="50" spans="1:7" x14ac:dyDescent="0.2">
      <c r="A50" s="9" t="s">
        <v>129</v>
      </c>
      <c r="B50" t="s">
        <v>7</v>
      </c>
      <c r="C50">
        <v>0.71978628017103252</v>
      </c>
      <c r="D50">
        <v>0.71707070707070708</v>
      </c>
      <c r="E50" t="s">
        <v>272</v>
      </c>
      <c r="F50" t="s">
        <v>271</v>
      </c>
      <c r="G50">
        <v>0.45128419576478979</v>
      </c>
    </row>
    <row r="51" spans="1:7" x14ac:dyDescent="0.2">
      <c r="A51" s="10"/>
      <c r="B51" t="s">
        <v>8</v>
      </c>
      <c r="C51">
        <v>0.70842040597604805</v>
      </c>
      <c r="D51">
        <v>0.71616161616161622</v>
      </c>
      <c r="E51" t="s">
        <v>270</v>
      </c>
      <c r="F51" t="s">
        <v>269</v>
      </c>
      <c r="G51">
        <v>0.40755730057076289</v>
      </c>
    </row>
    <row r="52" spans="1:7" x14ac:dyDescent="0.2">
      <c r="A52" s="10"/>
      <c r="B52" t="s">
        <v>9</v>
      </c>
      <c r="C52">
        <v>0.64671516646367788</v>
      </c>
      <c r="D52">
        <v>0.64449494949494945</v>
      </c>
      <c r="E52" t="s">
        <v>268</v>
      </c>
      <c r="F52" t="s">
        <v>267</v>
      </c>
      <c r="G52">
        <v>0.26864645893319439</v>
      </c>
    </row>
    <row r="53" spans="1:7" x14ac:dyDescent="0.2">
      <c r="A53" s="10"/>
      <c r="B53" t="s">
        <v>10</v>
      </c>
      <c r="C53">
        <v>0.53625507948009477</v>
      </c>
      <c r="D53">
        <v>0.59883838383838373</v>
      </c>
      <c r="E53" t="s">
        <v>266</v>
      </c>
      <c r="F53" t="s">
        <v>265</v>
      </c>
      <c r="G53">
        <v>6.0450031636806872E-2</v>
      </c>
    </row>
    <row r="54" spans="1:7" x14ac:dyDescent="0.2">
      <c r="A54" s="10"/>
      <c r="B54" t="s">
        <v>11</v>
      </c>
      <c r="C54">
        <v>0.621336993620489</v>
      </c>
      <c r="D54">
        <v>0.63308080808080802</v>
      </c>
      <c r="E54" t="s">
        <v>264</v>
      </c>
      <c r="F54" t="s">
        <v>263</v>
      </c>
      <c r="G54">
        <v>0.39722413260328571</v>
      </c>
    </row>
    <row r="55" spans="1:7" x14ac:dyDescent="0.2">
      <c r="A55" s="10"/>
      <c r="B55" t="s">
        <v>12</v>
      </c>
      <c r="C55">
        <v>0.71491906901668922</v>
      </c>
      <c r="D55">
        <v>0.7126262626262625</v>
      </c>
      <c r="E55" t="s">
        <v>262</v>
      </c>
      <c r="F55" t="s">
        <v>261</v>
      </c>
      <c r="G55">
        <v>0.45316864684281832</v>
      </c>
    </row>
    <row r="56" spans="1:7" x14ac:dyDescent="0.2">
      <c r="A56" s="10"/>
      <c r="B56" t="s">
        <v>13</v>
      </c>
      <c r="C56">
        <v>0.68992408972567698</v>
      </c>
      <c r="D56">
        <v>0.70515151515151508</v>
      </c>
      <c r="E56" t="s">
        <v>260</v>
      </c>
      <c r="F56" t="s">
        <v>259</v>
      </c>
      <c r="G56">
        <v>0.35844183344874742</v>
      </c>
    </row>
    <row r="57" spans="1:7" x14ac:dyDescent="0.2">
      <c r="A57" s="11"/>
      <c r="B57" t="s">
        <v>14</v>
      </c>
      <c r="C57">
        <v>0.56025867136978247</v>
      </c>
      <c r="D57">
        <v>0.55606060606060603</v>
      </c>
      <c r="E57" t="s">
        <v>258</v>
      </c>
      <c r="F57" t="s">
        <v>257</v>
      </c>
      <c r="G57">
        <v>9.8519308266400471E-2</v>
      </c>
    </row>
    <row r="58" spans="1:7" x14ac:dyDescent="0.2">
      <c r="A58" s="9" t="s">
        <v>130</v>
      </c>
      <c r="B58" t="s">
        <v>7</v>
      </c>
      <c r="C58">
        <v>0.76837920905289292</v>
      </c>
      <c r="D58">
        <v>0.76770867430441903</v>
      </c>
      <c r="E58" t="s">
        <v>256</v>
      </c>
      <c r="F58" t="s">
        <v>255</v>
      </c>
      <c r="G58">
        <v>0.53373431478389932</v>
      </c>
    </row>
    <row r="59" spans="1:7" x14ac:dyDescent="0.2">
      <c r="A59" s="10"/>
      <c r="B59" t="s">
        <v>8</v>
      </c>
      <c r="C59">
        <v>0.74424471309450912</v>
      </c>
      <c r="D59">
        <v>0.75023276959447172</v>
      </c>
      <c r="E59" t="s">
        <v>254</v>
      </c>
      <c r="F59" t="s">
        <v>253</v>
      </c>
      <c r="G59">
        <v>0.48198780576934058</v>
      </c>
    </row>
    <row r="60" spans="1:7" x14ac:dyDescent="0.2">
      <c r="A60" s="10"/>
      <c r="B60" t="s">
        <v>9</v>
      </c>
      <c r="C60">
        <v>0.67537588389350667</v>
      </c>
      <c r="D60">
        <v>0.67428441534824513</v>
      </c>
      <c r="E60" t="s">
        <v>252</v>
      </c>
      <c r="F60" t="s">
        <v>251</v>
      </c>
      <c r="G60">
        <v>0.34624413238071788</v>
      </c>
    </row>
    <row r="61" spans="1:7" x14ac:dyDescent="0.2">
      <c r="A61" s="10"/>
      <c r="B61" t="s">
        <v>10</v>
      </c>
      <c r="C61">
        <v>0.74266930703800937</v>
      </c>
      <c r="D61">
        <v>0.74249681760320052</v>
      </c>
      <c r="E61" t="s">
        <v>250</v>
      </c>
      <c r="F61" t="s">
        <v>249</v>
      </c>
      <c r="G61">
        <v>0.47755382792220258</v>
      </c>
    </row>
    <row r="62" spans="1:7" x14ac:dyDescent="0.2">
      <c r="A62" s="10"/>
      <c r="B62" t="s">
        <v>11</v>
      </c>
      <c r="C62">
        <v>0.74905996497161964</v>
      </c>
      <c r="D62">
        <v>0.74859428987088561</v>
      </c>
      <c r="E62" t="s">
        <v>248</v>
      </c>
      <c r="F62" t="s">
        <v>247</v>
      </c>
      <c r="G62">
        <v>0.51179037127306448</v>
      </c>
    </row>
    <row r="63" spans="1:7" x14ac:dyDescent="0.2">
      <c r="A63" s="10"/>
      <c r="B63" t="s">
        <v>12</v>
      </c>
      <c r="C63">
        <v>0.74501010131300338</v>
      </c>
      <c r="D63">
        <v>0.74424804509910891</v>
      </c>
      <c r="E63" t="s">
        <v>246</v>
      </c>
      <c r="F63" t="s">
        <v>245</v>
      </c>
      <c r="G63">
        <v>0.48647228552755212</v>
      </c>
    </row>
    <row r="64" spans="1:7" x14ac:dyDescent="0.2">
      <c r="A64" s="10"/>
      <c r="B64" t="s">
        <v>13</v>
      </c>
      <c r="C64">
        <v>0.70855566467011999</v>
      </c>
      <c r="D64">
        <v>0.70754500818330612</v>
      </c>
      <c r="E64" t="s">
        <v>244</v>
      </c>
      <c r="F64" t="s">
        <v>243</v>
      </c>
      <c r="G64">
        <v>0.41413066563437212</v>
      </c>
    </row>
    <row r="65" spans="1:7" x14ac:dyDescent="0.2">
      <c r="A65" s="11"/>
      <c r="B65" t="s">
        <v>14</v>
      </c>
      <c r="C65">
        <v>0.65537938933908757</v>
      </c>
      <c r="D65">
        <v>0.65508637934169844</v>
      </c>
      <c r="E65" t="s">
        <v>242</v>
      </c>
      <c r="F65" t="s">
        <v>241</v>
      </c>
      <c r="G65">
        <v>0.30043547490323058</v>
      </c>
    </row>
  </sheetData>
  <mergeCells count="8">
    <mergeCell ref="A50:A57"/>
    <mergeCell ref="A58:A65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6928-345A-1F4A-9671-92EBCB3E7A2C}">
  <dimension ref="A1:H161"/>
  <sheetViews>
    <sheetView zoomScale="189" zoomScaleNormal="189" workbookViewId="0">
      <selection activeCell="C5" sqref="C5"/>
    </sheetView>
  </sheetViews>
  <sheetFormatPr baseColWidth="10" defaultColWidth="8.83203125" defaultRowHeight="15" x14ac:dyDescent="0.2"/>
  <cols>
    <col min="1" max="1" width="25.33203125" customWidth="1"/>
    <col min="5" max="5" width="17.33203125" customWidth="1"/>
  </cols>
  <sheetData>
    <row r="1" spans="1:8" x14ac:dyDescent="0.2">
      <c r="A1" s="3" t="s">
        <v>528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4" t="s">
        <v>527</v>
      </c>
      <c r="B2" t="s">
        <v>7</v>
      </c>
      <c r="C2">
        <v>0.29389590403234622</v>
      </c>
      <c r="D2">
        <v>0.39523809523809522</v>
      </c>
      <c r="E2" t="s">
        <v>526</v>
      </c>
      <c r="F2" t="s">
        <v>525</v>
      </c>
      <c r="G2">
        <v>0.51564638262932205</v>
      </c>
      <c r="H2">
        <v>-0.23759857827014949</v>
      </c>
    </row>
    <row r="3" spans="1:8" x14ac:dyDescent="0.2">
      <c r="A3" s="5"/>
      <c r="B3" t="s">
        <v>8</v>
      </c>
      <c r="C3">
        <v>0.31829220524872698</v>
      </c>
      <c r="D3">
        <v>0.36666666666666659</v>
      </c>
      <c r="E3" t="s">
        <v>524</v>
      </c>
      <c r="F3" t="s">
        <v>523</v>
      </c>
      <c r="G3">
        <v>0.38668917069610442</v>
      </c>
      <c r="H3">
        <v>-0.26905952841898101</v>
      </c>
    </row>
    <row r="4" spans="1:8" x14ac:dyDescent="0.2">
      <c r="A4" s="5"/>
      <c r="B4" t="s">
        <v>9</v>
      </c>
      <c r="C4">
        <v>0.49347841249912811</v>
      </c>
      <c r="D4">
        <v>0.5</v>
      </c>
      <c r="E4" t="s">
        <v>522</v>
      </c>
      <c r="F4" t="s">
        <v>521</v>
      </c>
      <c r="G4">
        <v>0.48809415199343131</v>
      </c>
      <c r="H4">
        <v>-1.8732176325825561E-2</v>
      </c>
    </row>
    <row r="5" spans="1:8" x14ac:dyDescent="0.2">
      <c r="A5" s="5"/>
      <c r="B5" t="s">
        <v>10</v>
      </c>
      <c r="C5">
        <v>0.62666604260763059</v>
      </c>
      <c r="D5">
        <v>0.6333333333333333</v>
      </c>
      <c r="E5" t="s">
        <v>520</v>
      </c>
      <c r="F5" t="s">
        <v>519</v>
      </c>
      <c r="G5">
        <v>0.67211020892254358</v>
      </c>
      <c r="H5">
        <v>0.25630930665719631</v>
      </c>
    </row>
    <row r="6" spans="1:8" x14ac:dyDescent="0.2">
      <c r="A6" s="5"/>
      <c r="B6" t="s">
        <v>11</v>
      </c>
      <c r="C6">
        <v>0.6522567596338088</v>
      </c>
      <c r="D6">
        <v>0.65714285714285714</v>
      </c>
      <c r="E6" t="s">
        <v>518</v>
      </c>
      <c r="F6" t="s">
        <v>517</v>
      </c>
      <c r="G6">
        <v>0.64857221056472947</v>
      </c>
      <c r="H6">
        <v>0.30580422139063917</v>
      </c>
    </row>
    <row r="7" spans="1:8" x14ac:dyDescent="0.2">
      <c r="A7" s="5"/>
      <c r="B7" t="s">
        <v>12</v>
      </c>
      <c r="C7">
        <v>0.65751725751725754</v>
      </c>
      <c r="D7">
        <v>0.65714285714285714</v>
      </c>
      <c r="E7" t="s">
        <v>516</v>
      </c>
      <c r="F7" t="s">
        <v>515</v>
      </c>
      <c r="G7">
        <v>0.67439102271690543</v>
      </c>
      <c r="H7">
        <v>0.31251781460785388</v>
      </c>
    </row>
    <row r="8" spans="1:8" x14ac:dyDescent="0.2">
      <c r="A8" s="5"/>
      <c r="B8" t="s">
        <v>13</v>
      </c>
      <c r="C8">
        <v>0.46311020087532268</v>
      </c>
      <c r="D8">
        <v>0.51428571428571423</v>
      </c>
      <c r="E8" t="s">
        <v>514</v>
      </c>
      <c r="F8" t="s">
        <v>513</v>
      </c>
      <c r="G8">
        <v>0.66316941884864522</v>
      </c>
      <c r="H8">
        <v>9.8598912985498791E-2</v>
      </c>
    </row>
    <row r="9" spans="1:8" x14ac:dyDescent="0.2">
      <c r="A9" s="6"/>
      <c r="B9" t="s">
        <v>14</v>
      </c>
      <c r="C9">
        <v>0.50090201121708999</v>
      </c>
      <c r="D9">
        <v>0.52380952380952384</v>
      </c>
      <c r="E9" t="s">
        <v>512</v>
      </c>
      <c r="F9" t="s">
        <v>511</v>
      </c>
      <c r="G9">
        <v>0.55004105464829856</v>
      </c>
      <c r="H9">
        <v>9.0367421507460535E-2</v>
      </c>
    </row>
    <row r="10" spans="1:8" x14ac:dyDescent="0.2">
      <c r="A10" s="4" t="s">
        <v>510</v>
      </c>
      <c r="B10" t="s">
        <v>7</v>
      </c>
      <c r="C10">
        <v>0.7291446467018986</v>
      </c>
      <c r="D10">
        <v>0.78205128205128205</v>
      </c>
      <c r="E10" t="s">
        <v>509</v>
      </c>
      <c r="F10" t="s">
        <v>508</v>
      </c>
      <c r="G10">
        <v>0.60603448275862071</v>
      </c>
      <c r="H10">
        <v>0.32580701736603279</v>
      </c>
    </row>
    <row r="11" spans="1:8" x14ac:dyDescent="0.2">
      <c r="A11" s="5"/>
      <c r="B11" t="s">
        <v>8</v>
      </c>
      <c r="C11">
        <v>0.66335639668973001</v>
      </c>
      <c r="D11">
        <v>0.75641025641025639</v>
      </c>
      <c r="E11" t="s">
        <v>507</v>
      </c>
      <c r="F11" t="s">
        <v>506</v>
      </c>
      <c r="G11">
        <v>0.52500000000000002</v>
      </c>
      <c r="H11">
        <v>0.19406786870148721</v>
      </c>
    </row>
    <row r="12" spans="1:8" x14ac:dyDescent="0.2">
      <c r="A12" s="5"/>
      <c r="B12" t="s">
        <v>9</v>
      </c>
      <c r="C12">
        <v>0.62763388396797459</v>
      </c>
      <c r="D12">
        <v>0.60256410256410253</v>
      </c>
      <c r="E12" t="s">
        <v>505</v>
      </c>
      <c r="F12" t="s">
        <v>504</v>
      </c>
      <c r="G12">
        <v>0.63448275862068959</v>
      </c>
      <c r="H12">
        <v>0.23488808780588141</v>
      </c>
    </row>
    <row r="13" spans="1:8" x14ac:dyDescent="0.2">
      <c r="A13" s="5"/>
      <c r="B13" t="s">
        <v>10</v>
      </c>
      <c r="C13">
        <v>0.6875</v>
      </c>
      <c r="D13">
        <v>0.66666666666666663</v>
      </c>
      <c r="E13" t="s">
        <v>503</v>
      </c>
      <c r="F13" t="s">
        <v>502</v>
      </c>
      <c r="G13">
        <v>0.82155172413793109</v>
      </c>
      <c r="H13">
        <v>0.39612746578217151</v>
      </c>
    </row>
    <row r="14" spans="1:8" x14ac:dyDescent="0.2">
      <c r="A14" s="5"/>
      <c r="B14" t="s">
        <v>11</v>
      </c>
      <c r="C14">
        <v>0.69999752738421961</v>
      </c>
      <c r="D14">
        <v>0.71794871794871795</v>
      </c>
      <c r="E14" t="s">
        <v>501</v>
      </c>
      <c r="F14" t="s">
        <v>500</v>
      </c>
      <c r="G14">
        <v>0.58103448275862069</v>
      </c>
      <c r="H14">
        <v>0.1844059160437137</v>
      </c>
    </row>
    <row r="15" spans="1:8" x14ac:dyDescent="0.2">
      <c r="A15" s="5"/>
      <c r="B15" t="s">
        <v>12</v>
      </c>
      <c r="C15">
        <v>0.8067061143984221</v>
      </c>
      <c r="D15">
        <v>0.79487179487179482</v>
      </c>
      <c r="E15" t="s">
        <v>499</v>
      </c>
      <c r="F15" t="s">
        <v>498</v>
      </c>
      <c r="G15">
        <v>0.84310344827586203</v>
      </c>
      <c r="H15">
        <v>0.58466952697409669</v>
      </c>
    </row>
    <row r="16" spans="1:8" x14ac:dyDescent="0.2">
      <c r="A16" s="5"/>
      <c r="B16" t="s">
        <v>13</v>
      </c>
      <c r="C16">
        <v>0.73658714202035869</v>
      </c>
      <c r="D16">
        <v>0.73076923076923073</v>
      </c>
      <c r="E16" t="s">
        <v>497</v>
      </c>
      <c r="F16" t="s">
        <v>496</v>
      </c>
      <c r="G16">
        <v>0.71982758620689657</v>
      </c>
      <c r="H16">
        <v>0.32855555526619712</v>
      </c>
    </row>
    <row r="17" spans="1:8" x14ac:dyDescent="0.2">
      <c r="A17" s="6"/>
      <c r="B17" t="s">
        <v>14</v>
      </c>
      <c r="C17">
        <v>0.17521725856456699</v>
      </c>
      <c r="D17">
        <v>0.24358974358974361</v>
      </c>
      <c r="E17" t="s">
        <v>495</v>
      </c>
      <c r="F17" t="s">
        <v>494</v>
      </c>
      <c r="G17">
        <v>0.22284482758620691</v>
      </c>
      <c r="H17">
        <v>-0.24742552476421581</v>
      </c>
    </row>
    <row r="18" spans="1:8" x14ac:dyDescent="0.2">
      <c r="A18" s="4" t="s">
        <v>493</v>
      </c>
      <c r="B18" t="s">
        <v>7</v>
      </c>
      <c r="C18">
        <v>0.66060985797827909</v>
      </c>
      <c r="D18">
        <v>0.71111111111111114</v>
      </c>
      <c r="E18" t="s">
        <v>492</v>
      </c>
      <c r="F18" t="s">
        <v>491</v>
      </c>
      <c r="G18">
        <v>0.45357142857142863</v>
      </c>
      <c r="H18">
        <v>-7.3043588723847183E-2</v>
      </c>
    </row>
    <row r="19" spans="1:8" x14ac:dyDescent="0.2">
      <c r="A19" s="5"/>
      <c r="B19" t="s">
        <v>8</v>
      </c>
      <c r="C19">
        <v>0.66783060256065885</v>
      </c>
      <c r="D19">
        <v>0.68888888888888888</v>
      </c>
      <c r="E19" t="s">
        <v>490</v>
      </c>
      <c r="F19" t="s">
        <v>489</v>
      </c>
      <c r="G19">
        <v>0.49642857142857139</v>
      </c>
      <c r="H19">
        <v>-8.1934190668057766E-3</v>
      </c>
    </row>
    <row r="20" spans="1:8" x14ac:dyDescent="0.2">
      <c r="A20" s="5"/>
      <c r="B20" t="s">
        <v>9</v>
      </c>
      <c r="C20">
        <v>0.50822510822510825</v>
      </c>
      <c r="D20">
        <v>0.46666666666666667</v>
      </c>
      <c r="E20" t="s">
        <v>488</v>
      </c>
      <c r="F20" t="s">
        <v>487</v>
      </c>
      <c r="G20">
        <v>0.49642857142857139</v>
      </c>
      <c r="H20">
        <v>-5.9761430466719681E-3</v>
      </c>
    </row>
    <row r="21" spans="1:8" x14ac:dyDescent="0.2">
      <c r="A21" s="5"/>
      <c r="B21" t="s">
        <v>10</v>
      </c>
      <c r="C21">
        <v>0.53184865900383138</v>
      </c>
      <c r="D21">
        <v>0.48888888888888887</v>
      </c>
      <c r="E21" t="s">
        <v>486</v>
      </c>
      <c r="F21" t="s">
        <v>485</v>
      </c>
      <c r="G21">
        <v>0.43571428571428572</v>
      </c>
      <c r="H21">
        <v>-4.158423994565378E-2</v>
      </c>
    </row>
    <row r="22" spans="1:8" x14ac:dyDescent="0.2">
      <c r="A22" s="5"/>
      <c r="B22" t="s">
        <v>11</v>
      </c>
      <c r="C22">
        <v>0.61229946524064172</v>
      </c>
      <c r="D22">
        <v>0.6</v>
      </c>
      <c r="E22" t="s">
        <v>484</v>
      </c>
      <c r="F22" t="s">
        <v>483</v>
      </c>
      <c r="G22">
        <v>0.45714285714285718</v>
      </c>
      <c r="H22">
        <v>-8.0582296402538028E-2</v>
      </c>
    </row>
    <row r="23" spans="1:8" x14ac:dyDescent="0.2">
      <c r="A23" s="5"/>
      <c r="B23" t="s">
        <v>12</v>
      </c>
      <c r="C23">
        <v>0.56530448717948723</v>
      </c>
      <c r="D23">
        <v>0.53333333333333333</v>
      </c>
      <c r="E23" t="s">
        <v>482</v>
      </c>
      <c r="F23" t="s">
        <v>481</v>
      </c>
      <c r="G23">
        <v>0.44142857142857139</v>
      </c>
      <c r="H23">
        <v>-0.117869270909048</v>
      </c>
    </row>
    <row r="24" spans="1:8" x14ac:dyDescent="0.2">
      <c r="A24" s="5"/>
      <c r="B24" t="s">
        <v>13</v>
      </c>
      <c r="C24">
        <v>0.58271604938271604</v>
      </c>
      <c r="D24">
        <v>0.56666666666666665</v>
      </c>
      <c r="E24" t="s">
        <v>480</v>
      </c>
      <c r="F24" t="s">
        <v>479</v>
      </c>
      <c r="G24">
        <v>0.49142857142857138</v>
      </c>
      <c r="H24">
        <v>-0.152488515150313</v>
      </c>
    </row>
    <row r="25" spans="1:8" x14ac:dyDescent="0.2">
      <c r="A25" s="6"/>
      <c r="B25" t="s">
        <v>14</v>
      </c>
      <c r="C25">
        <v>0.57481481481481478</v>
      </c>
      <c r="D25">
        <v>0.5444444444444444</v>
      </c>
      <c r="E25" t="s">
        <v>478</v>
      </c>
      <c r="F25" t="s">
        <v>477</v>
      </c>
      <c r="G25">
        <v>0.7628571428571429</v>
      </c>
      <c r="H25">
        <v>0.26193230866546419</v>
      </c>
    </row>
    <row r="26" spans="1:8" x14ac:dyDescent="0.2">
      <c r="A26" s="4" t="s">
        <v>476</v>
      </c>
      <c r="B26" t="s">
        <v>7</v>
      </c>
      <c r="C26">
        <v>0.56669881067180972</v>
      </c>
      <c r="D26">
        <v>0.67213114754098358</v>
      </c>
      <c r="E26" t="s">
        <v>475</v>
      </c>
      <c r="F26" t="s">
        <v>474</v>
      </c>
      <c r="G26">
        <v>0.33204134366925059</v>
      </c>
      <c r="H26">
        <v>-0.11912173678640629</v>
      </c>
    </row>
    <row r="27" spans="1:8" x14ac:dyDescent="0.2">
      <c r="A27" s="5"/>
      <c r="B27" t="s">
        <v>8</v>
      </c>
      <c r="C27">
        <v>0.56137907723508529</v>
      </c>
      <c r="D27">
        <v>0.62295081967213117</v>
      </c>
      <c r="E27" t="s">
        <v>465</v>
      </c>
      <c r="F27" t="s">
        <v>464</v>
      </c>
      <c r="G27">
        <v>0.45801033591731272</v>
      </c>
      <c r="H27">
        <v>-0.1201702532405053</v>
      </c>
    </row>
    <row r="28" spans="1:8" x14ac:dyDescent="0.2">
      <c r="A28" s="5"/>
      <c r="B28" t="s">
        <v>9</v>
      </c>
      <c r="C28">
        <v>0.44621893178212579</v>
      </c>
      <c r="D28">
        <v>0.44262295081967212</v>
      </c>
      <c r="E28" t="s">
        <v>473</v>
      </c>
      <c r="F28" t="s">
        <v>472</v>
      </c>
      <c r="G28">
        <v>0.52390180878552972</v>
      </c>
      <c r="H28">
        <v>4.7079278444008887E-2</v>
      </c>
    </row>
    <row r="29" spans="1:8" x14ac:dyDescent="0.2">
      <c r="A29" s="5"/>
      <c r="B29" t="s">
        <v>10</v>
      </c>
      <c r="C29">
        <v>0.54222385229011139</v>
      </c>
      <c r="D29">
        <v>0.52459016393442626</v>
      </c>
      <c r="E29" t="s">
        <v>471</v>
      </c>
      <c r="F29" t="s">
        <v>470</v>
      </c>
      <c r="G29">
        <v>0.5284237726098191</v>
      </c>
      <c r="H29">
        <v>-2.7557264263100931E-2</v>
      </c>
    </row>
    <row r="30" spans="1:8" x14ac:dyDescent="0.2">
      <c r="A30" s="5"/>
      <c r="B30" t="s">
        <v>11</v>
      </c>
      <c r="C30">
        <v>0.59163490703088439</v>
      </c>
      <c r="D30">
        <v>0.62295081967213117</v>
      </c>
      <c r="E30" t="s">
        <v>469</v>
      </c>
      <c r="F30" t="s">
        <v>468</v>
      </c>
      <c r="G30">
        <v>0.49031007751937983</v>
      </c>
      <c r="H30">
        <v>-2.2990024493585139E-2</v>
      </c>
    </row>
    <row r="31" spans="1:8" x14ac:dyDescent="0.2">
      <c r="A31" s="5"/>
      <c r="B31" t="s">
        <v>12</v>
      </c>
      <c r="C31">
        <v>0.62615594787725926</v>
      </c>
      <c r="D31">
        <v>0.67213114754098358</v>
      </c>
      <c r="E31" t="s">
        <v>467</v>
      </c>
      <c r="F31" t="s">
        <v>466</v>
      </c>
      <c r="G31">
        <v>0.53875968992248058</v>
      </c>
      <c r="H31">
        <v>6.807869127233003E-2</v>
      </c>
    </row>
    <row r="32" spans="1:8" x14ac:dyDescent="0.2">
      <c r="A32" s="5"/>
      <c r="B32" t="s">
        <v>13</v>
      </c>
      <c r="C32">
        <v>0.56137907723508529</v>
      </c>
      <c r="D32">
        <v>0.62295081967213117</v>
      </c>
      <c r="E32" t="s">
        <v>465</v>
      </c>
      <c r="F32" t="s">
        <v>464</v>
      </c>
      <c r="G32">
        <v>0.61498708010335923</v>
      </c>
      <c r="H32">
        <v>-0.1201702532405053</v>
      </c>
    </row>
    <row r="33" spans="1:8" x14ac:dyDescent="0.2">
      <c r="A33" s="6"/>
      <c r="B33" t="s">
        <v>14</v>
      </c>
      <c r="C33">
        <v>0.50475938656795349</v>
      </c>
      <c r="D33">
        <v>0.50819672131147542</v>
      </c>
      <c r="E33" t="s">
        <v>463</v>
      </c>
      <c r="F33" t="s">
        <v>462</v>
      </c>
      <c r="G33">
        <v>0.60400516795865644</v>
      </c>
      <c r="H33">
        <v>0.24182240927987711</v>
      </c>
    </row>
    <row r="34" spans="1:8" x14ac:dyDescent="0.2">
      <c r="A34" s="4" t="s">
        <v>461</v>
      </c>
      <c r="B34" t="s">
        <v>7</v>
      </c>
      <c r="C34">
        <v>0.30912820512820521</v>
      </c>
      <c r="D34">
        <v>0.46666666666666667</v>
      </c>
      <c r="E34" t="s">
        <v>460</v>
      </c>
      <c r="F34" t="s">
        <v>459</v>
      </c>
      <c r="G34">
        <v>0.56495769039323041</v>
      </c>
      <c r="H34">
        <v>9.6961401672802275E-2</v>
      </c>
    </row>
    <row r="35" spans="1:8" x14ac:dyDescent="0.2">
      <c r="A35" s="5"/>
      <c r="B35" t="s">
        <v>8</v>
      </c>
      <c r="C35">
        <v>0.32468449842787611</v>
      </c>
      <c r="D35">
        <v>0.36666666666666659</v>
      </c>
      <c r="E35" t="s">
        <v>458</v>
      </c>
      <c r="F35" t="s">
        <v>457</v>
      </c>
      <c r="G35">
        <v>0.38850174216027872</v>
      </c>
      <c r="H35">
        <v>-0.25841769527299668</v>
      </c>
    </row>
    <row r="36" spans="1:8" x14ac:dyDescent="0.2">
      <c r="A36" s="5"/>
      <c r="B36" t="s">
        <v>9</v>
      </c>
      <c r="C36">
        <v>0.48717774378151729</v>
      </c>
      <c r="D36">
        <v>0.51111111111111107</v>
      </c>
      <c r="E36" t="s">
        <v>456</v>
      </c>
      <c r="F36" t="s">
        <v>455</v>
      </c>
      <c r="G36">
        <v>0.57590841214534594</v>
      </c>
      <c r="H36">
        <v>6.9182039663041039E-2</v>
      </c>
    </row>
    <row r="37" spans="1:8" x14ac:dyDescent="0.2">
      <c r="A37" s="5"/>
      <c r="B37" t="s">
        <v>10</v>
      </c>
      <c r="C37">
        <v>0.35466079059829059</v>
      </c>
      <c r="D37">
        <v>0.48888888888888887</v>
      </c>
      <c r="E37" t="s">
        <v>454</v>
      </c>
      <c r="F37" t="s">
        <v>453</v>
      </c>
      <c r="G37">
        <v>0.55599800895968143</v>
      </c>
      <c r="H37">
        <v>0.16986147437996721</v>
      </c>
    </row>
    <row r="38" spans="1:8" x14ac:dyDescent="0.2">
      <c r="A38" s="5"/>
      <c r="B38" t="s">
        <v>11</v>
      </c>
      <c r="C38">
        <v>0.30928484848484838</v>
      </c>
      <c r="D38">
        <v>0.43333333333333329</v>
      </c>
      <c r="E38" t="s">
        <v>452</v>
      </c>
      <c r="F38" t="s">
        <v>451</v>
      </c>
      <c r="G38">
        <v>0.47162767546042811</v>
      </c>
      <c r="H38">
        <v>-0.11329209679617119</v>
      </c>
    </row>
    <row r="39" spans="1:8" x14ac:dyDescent="0.2">
      <c r="A39" s="5"/>
      <c r="B39" t="s">
        <v>12</v>
      </c>
      <c r="C39">
        <v>0.33227947509753258</v>
      </c>
      <c r="D39">
        <v>0.4777777777777778</v>
      </c>
      <c r="E39" t="s">
        <v>450</v>
      </c>
      <c r="F39" t="s">
        <v>449</v>
      </c>
      <c r="G39">
        <v>0.48880039820806359</v>
      </c>
      <c r="H39">
        <v>0.13790104273763179</v>
      </c>
    </row>
    <row r="40" spans="1:8" x14ac:dyDescent="0.2">
      <c r="A40" s="5"/>
      <c r="B40" t="s">
        <v>13</v>
      </c>
      <c r="C40">
        <v>0.28515691263782872</v>
      </c>
      <c r="D40">
        <v>0.45555555555555549</v>
      </c>
      <c r="E40" t="s">
        <v>448</v>
      </c>
      <c r="F40" t="s">
        <v>447</v>
      </c>
      <c r="G40">
        <v>0.44698855151816819</v>
      </c>
      <c r="H40">
        <v>0</v>
      </c>
    </row>
    <row r="41" spans="1:8" x14ac:dyDescent="0.2">
      <c r="A41" s="6"/>
      <c r="B41" t="s">
        <v>14</v>
      </c>
      <c r="C41">
        <v>0.5216859957600698</v>
      </c>
      <c r="D41">
        <v>0.52222222222222225</v>
      </c>
      <c r="E41" t="s">
        <v>446</v>
      </c>
      <c r="F41" t="s">
        <v>445</v>
      </c>
      <c r="G41">
        <v>0.50895968143354897</v>
      </c>
      <c r="H41">
        <v>3.4921514788478908E-2</v>
      </c>
    </row>
    <row r="42" spans="1:8" x14ac:dyDescent="0.2">
      <c r="A42" s="4" t="s">
        <v>444</v>
      </c>
      <c r="B42" t="s">
        <v>7</v>
      </c>
      <c r="C42">
        <v>0.16666666666666671</v>
      </c>
      <c r="D42">
        <v>0.33333333333333331</v>
      </c>
      <c r="E42" t="s">
        <v>433</v>
      </c>
      <c r="F42" t="s">
        <v>432</v>
      </c>
      <c r="G42">
        <v>0.50750000000000006</v>
      </c>
      <c r="H42">
        <v>0</v>
      </c>
    </row>
    <row r="43" spans="1:8" x14ac:dyDescent="0.2">
      <c r="A43" s="5"/>
      <c r="B43" t="s">
        <v>8</v>
      </c>
      <c r="C43">
        <v>0.24702380952380951</v>
      </c>
      <c r="D43">
        <v>0.26666666666666672</v>
      </c>
      <c r="E43" t="s">
        <v>441</v>
      </c>
      <c r="F43" t="s">
        <v>440</v>
      </c>
      <c r="G43">
        <v>0.32500000000000001</v>
      </c>
      <c r="H43">
        <v>-0.37310125362231822</v>
      </c>
    </row>
    <row r="44" spans="1:8" x14ac:dyDescent="0.2">
      <c r="A44" s="5"/>
      <c r="B44" t="s">
        <v>9</v>
      </c>
      <c r="C44">
        <v>0.49388209121245819</v>
      </c>
      <c r="D44">
        <v>0.5</v>
      </c>
      <c r="E44" t="s">
        <v>439</v>
      </c>
      <c r="F44" t="s">
        <v>438</v>
      </c>
      <c r="G44">
        <v>0.63500000000000012</v>
      </c>
      <c r="H44">
        <v>0.15430334996209191</v>
      </c>
    </row>
    <row r="45" spans="1:8" x14ac:dyDescent="0.2">
      <c r="A45" s="5"/>
      <c r="B45" t="s">
        <v>10</v>
      </c>
      <c r="C45">
        <v>0.2344322344322344</v>
      </c>
      <c r="D45">
        <v>0.36666666666666659</v>
      </c>
      <c r="E45" t="s">
        <v>435</v>
      </c>
      <c r="F45" t="s">
        <v>434</v>
      </c>
      <c r="G45">
        <v>0.53500000000000003</v>
      </c>
      <c r="H45">
        <v>0.13130643285972249</v>
      </c>
    </row>
    <row r="46" spans="1:8" x14ac:dyDescent="0.2">
      <c r="A46" s="5"/>
      <c r="B46" t="s">
        <v>11</v>
      </c>
      <c r="C46">
        <v>0.14035087719298239</v>
      </c>
      <c r="D46">
        <v>0.26666666666666672</v>
      </c>
      <c r="E46" t="s">
        <v>437</v>
      </c>
      <c r="F46" t="s">
        <v>436</v>
      </c>
      <c r="G46">
        <v>0.4</v>
      </c>
      <c r="H46">
        <v>-0.37796447300922731</v>
      </c>
    </row>
    <row r="47" spans="1:8" x14ac:dyDescent="0.2">
      <c r="A47" s="5"/>
      <c r="B47" t="s">
        <v>12</v>
      </c>
      <c r="C47">
        <v>0.2344322344322344</v>
      </c>
      <c r="D47">
        <v>0.36666666666666659</v>
      </c>
      <c r="E47" t="s">
        <v>435</v>
      </c>
      <c r="F47" t="s">
        <v>434</v>
      </c>
      <c r="G47">
        <v>0.46500000000000002</v>
      </c>
      <c r="H47">
        <v>0.13130643285972249</v>
      </c>
    </row>
    <row r="48" spans="1:8" x14ac:dyDescent="0.2">
      <c r="A48" s="5"/>
      <c r="B48" t="s">
        <v>13</v>
      </c>
      <c r="C48">
        <v>0.16666666666666671</v>
      </c>
      <c r="D48">
        <v>0.33333333333333331</v>
      </c>
      <c r="E48" t="s">
        <v>433</v>
      </c>
      <c r="F48" t="s">
        <v>432</v>
      </c>
      <c r="G48">
        <v>0.42999999999999988</v>
      </c>
      <c r="H48">
        <v>0</v>
      </c>
    </row>
    <row r="49" spans="1:8" x14ac:dyDescent="0.2">
      <c r="A49" s="6"/>
      <c r="B49" t="s">
        <v>14</v>
      </c>
      <c r="C49">
        <v>0.54226475279106856</v>
      </c>
      <c r="D49">
        <v>0.53333333333333333</v>
      </c>
      <c r="E49" t="s">
        <v>431</v>
      </c>
      <c r="F49" t="s">
        <v>430</v>
      </c>
      <c r="G49">
        <v>0.52</v>
      </c>
      <c r="H49">
        <v>0</v>
      </c>
    </row>
    <row r="50" spans="1:8" x14ac:dyDescent="0.2">
      <c r="A50" s="4" t="s">
        <v>443</v>
      </c>
      <c r="B50" t="s">
        <v>7</v>
      </c>
      <c r="C50">
        <v>0.16666666666666671</v>
      </c>
      <c r="D50">
        <v>0.33333333333333331</v>
      </c>
      <c r="E50" t="s">
        <v>433</v>
      </c>
      <c r="F50" t="s">
        <v>432</v>
      </c>
      <c r="G50">
        <v>0.50750000000000006</v>
      </c>
      <c r="H50">
        <v>0</v>
      </c>
    </row>
    <row r="51" spans="1:8" x14ac:dyDescent="0.2">
      <c r="A51" s="5"/>
      <c r="B51" t="s">
        <v>8</v>
      </c>
      <c r="C51">
        <v>0.24702380952380951</v>
      </c>
      <c r="D51">
        <v>0.26666666666666672</v>
      </c>
      <c r="E51" t="s">
        <v>441</v>
      </c>
      <c r="F51" t="s">
        <v>440</v>
      </c>
      <c r="G51">
        <v>0.32500000000000001</v>
      </c>
      <c r="H51">
        <v>-0.37310125362231822</v>
      </c>
    </row>
    <row r="52" spans="1:8" x14ac:dyDescent="0.2">
      <c r="A52" s="5"/>
      <c r="B52" t="s">
        <v>9</v>
      </c>
      <c r="C52">
        <v>0.49388209121245819</v>
      </c>
      <c r="D52">
        <v>0.5</v>
      </c>
      <c r="E52" t="s">
        <v>439</v>
      </c>
      <c r="F52" t="s">
        <v>438</v>
      </c>
      <c r="G52">
        <v>0.63500000000000012</v>
      </c>
      <c r="H52">
        <v>0.15430334996209191</v>
      </c>
    </row>
    <row r="53" spans="1:8" x14ac:dyDescent="0.2">
      <c r="A53" s="5"/>
      <c r="B53" t="s">
        <v>10</v>
      </c>
      <c r="C53">
        <v>0.2344322344322344</v>
      </c>
      <c r="D53">
        <v>0.36666666666666659</v>
      </c>
      <c r="E53" t="s">
        <v>435</v>
      </c>
      <c r="F53" t="s">
        <v>434</v>
      </c>
      <c r="G53">
        <v>0.53500000000000003</v>
      </c>
      <c r="H53">
        <v>0.13130643285972249</v>
      </c>
    </row>
    <row r="54" spans="1:8" x14ac:dyDescent="0.2">
      <c r="A54" s="5"/>
      <c r="B54" t="s">
        <v>11</v>
      </c>
      <c r="C54">
        <v>0.14035087719298239</v>
      </c>
      <c r="D54">
        <v>0.26666666666666672</v>
      </c>
      <c r="E54" t="s">
        <v>437</v>
      </c>
      <c r="F54" t="s">
        <v>436</v>
      </c>
      <c r="G54">
        <v>0.4</v>
      </c>
      <c r="H54">
        <v>-0.37796447300922731</v>
      </c>
    </row>
    <row r="55" spans="1:8" x14ac:dyDescent="0.2">
      <c r="A55" s="5"/>
      <c r="B55" t="s">
        <v>12</v>
      </c>
      <c r="C55">
        <v>0.2344322344322344</v>
      </c>
      <c r="D55">
        <v>0.36666666666666659</v>
      </c>
      <c r="E55" t="s">
        <v>435</v>
      </c>
      <c r="F55" t="s">
        <v>434</v>
      </c>
      <c r="G55">
        <v>0.46500000000000002</v>
      </c>
      <c r="H55">
        <v>0.13130643285972249</v>
      </c>
    </row>
    <row r="56" spans="1:8" x14ac:dyDescent="0.2">
      <c r="A56" s="5"/>
      <c r="B56" t="s">
        <v>13</v>
      </c>
      <c r="C56">
        <v>0.16666666666666671</v>
      </c>
      <c r="D56">
        <v>0.33333333333333331</v>
      </c>
      <c r="E56" t="s">
        <v>433</v>
      </c>
      <c r="F56" t="s">
        <v>432</v>
      </c>
      <c r="G56">
        <v>0.42999999999999988</v>
      </c>
      <c r="H56">
        <v>0</v>
      </c>
    </row>
    <row r="57" spans="1:8" x14ac:dyDescent="0.2">
      <c r="A57" s="6"/>
      <c r="B57" t="s">
        <v>14</v>
      </c>
      <c r="C57">
        <v>0.54226475279106856</v>
      </c>
      <c r="D57">
        <v>0.53333333333333333</v>
      </c>
      <c r="E57" t="s">
        <v>431</v>
      </c>
      <c r="F57" t="s">
        <v>430</v>
      </c>
      <c r="G57">
        <v>0.52</v>
      </c>
      <c r="H57">
        <v>0</v>
      </c>
    </row>
    <row r="58" spans="1:8" x14ac:dyDescent="0.2">
      <c r="A58" s="4" t="s">
        <v>442</v>
      </c>
      <c r="B58" t="s">
        <v>7</v>
      </c>
      <c r="C58">
        <v>0.16666666666666671</v>
      </c>
      <c r="D58">
        <v>0.33333333333333331</v>
      </c>
      <c r="E58" t="s">
        <v>433</v>
      </c>
      <c r="F58" t="s">
        <v>432</v>
      </c>
      <c r="G58">
        <v>0.50750000000000006</v>
      </c>
      <c r="H58">
        <v>0</v>
      </c>
    </row>
    <row r="59" spans="1:8" x14ac:dyDescent="0.2">
      <c r="A59" s="5"/>
      <c r="B59" t="s">
        <v>8</v>
      </c>
      <c r="C59">
        <v>0.24702380952380951</v>
      </c>
      <c r="D59">
        <v>0.26666666666666672</v>
      </c>
      <c r="E59" t="s">
        <v>441</v>
      </c>
      <c r="F59" t="s">
        <v>440</v>
      </c>
      <c r="G59">
        <v>0.32500000000000001</v>
      </c>
      <c r="H59">
        <v>-0.37310125362231822</v>
      </c>
    </row>
    <row r="60" spans="1:8" x14ac:dyDescent="0.2">
      <c r="A60" s="5"/>
      <c r="B60" t="s">
        <v>9</v>
      </c>
      <c r="C60">
        <v>0.49388209121245819</v>
      </c>
      <c r="D60">
        <v>0.5</v>
      </c>
      <c r="E60" t="s">
        <v>439</v>
      </c>
      <c r="F60" t="s">
        <v>438</v>
      </c>
      <c r="G60">
        <v>0.63500000000000012</v>
      </c>
      <c r="H60">
        <v>0.15430334996209191</v>
      </c>
    </row>
    <row r="61" spans="1:8" x14ac:dyDescent="0.2">
      <c r="A61" s="5"/>
      <c r="B61" t="s">
        <v>10</v>
      </c>
      <c r="C61">
        <v>0.2344322344322344</v>
      </c>
      <c r="D61">
        <v>0.36666666666666659</v>
      </c>
      <c r="E61" t="s">
        <v>435</v>
      </c>
      <c r="F61" t="s">
        <v>434</v>
      </c>
      <c r="G61">
        <v>0.53500000000000003</v>
      </c>
      <c r="H61">
        <v>0.13130643285972249</v>
      </c>
    </row>
    <row r="62" spans="1:8" x14ac:dyDescent="0.2">
      <c r="A62" s="5"/>
      <c r="B62" t="s">
        <v>11</v>
      </c>
      <c r="C62">
        <v>0.14035087719298239</v>
      </c>
      <c r="D62">
        <v>0.26666666666666672</v>
      </c>
      <c r="E62" t="s">
        <v>437</v>
      </c>
      <c r="F62" t="s">
        <v>436</v>
      </c>
      <c r="G62">
        <v>0.4</v>
      </c>
      <c r="H62">
        <v>-0.37796447300922731</v>
      </c>
    </row>
    <row r="63" spans="1:8" x14ac:dyDescent="0.2">
      <c r="A63" s="5"/>
      <c r="B63" t="s">
        <v>12</v>
      </c>
      <c r="C63">
        <v>0.2344322344322344</v>
      </c>
      <c r="D63">
        <v>0.36666666666666659</v>
      </c>
      <c r="E63" t="s">
        <v>435</v>
      </c>
      <c r="F63" t="s">
        <v>434</v>
      </c>
      <c r="G63">
        <v>0.46500000000000002</v>
      </c>
      <c r="H63">
        <v>0.13130643285972249</v>
      </c>
    </row>
    <row r="64" spans="1:8" x14ac:dyDescent="0.2">
      <c r="A64" s="5"/>
      <c r="B64" t="s">
        <v>13</v>
      </c>
      <c r="C64">
        <v>0.16666666666666671</v>
      </c>
      <c r="D64">
        <v>0.33333333333333331</v>
      </c>
      <c r="E64" t="s">
        <v>433</v>
      </c>
      <c r="F64" t="s">
        <v>432</v>
      </c>
      <c r="G64">
        <v>0.42999999999999988</v>
      </c>
      <c r="H64">
        <v>0</v>
      </c>
    </row>
    <row r="65" spans="1:8" x14ac:dyDescent="0.2">
      <c r="A65" s="6"/>
      <c r="B65" t="s">
        <v>14</v>
      </c>
      <c r="C65">
        <v>0.54226475279106856</v>
      </c>
      <c r="D65">
        <v>0.53333333333333333</v>
      </c>
      <c r="E65" t="s">
        <v>431</v>
      </c>
      <c r="F65" t="s">
        <v>430</v>
      </c>
      <c r="G65">
        <v>0.52</v>
      </c>
      <c r="H65">
        <v>0</v>
      </c>
    </row>
    <row r="66" spans="1:8" x14ac:dyDescent="0.2">
      <c r="A66" s="4" t="s">
        <v>429</v>
      </c>
      <c r="B66" t="s">
        <v>7</v>
      </c>
      <c r="C66">
        <v>0.367003367003367</v>
      </c>
      <c r="D66">
        <v>0.39393939393939392</v>
      </c>
      <c r="E66" t="s">
        <v>425</v>
      </c>
      <c r="F66" t="s">
        <v>424</v>
      </c>
      <c r="G66">
        <v>0.62173913043478257</v>
      </c>
      <c r="H66">
        <v>1.9550613012972021E-2</v>
      </c>
    </row>
    <row r="67" spans="1:8" x14ac:dyDescent="0.2">
      <c r="A67" s="5"/>
      <c r="B67" t="s">
        <v>8</v>
      </c>
      <c r="C67">
        <v>0.14094432699083859</v>
      </c>
      <c r="D67">
        <v>0.30303030303030298</v>
      </c>
      <c r="E67" t="s">
        <v>423</v>
      </c>
      <c r="F67" t="s">
        <v>422</v>
      </c>
      <c r="G67">
        <v>0.5</v>
      </c>
      <c r="H67">
        <v>0</v>
      </c>
    </row>
    <row r="68" spans="1:8" x14ac:dyDescent="0.2">
      <c r="A68" s="5"/>
      <c r="B68" t="s">
        <v>9</v>
      </c>
      <c r="C68">
        <v>0.25933481152993348</v>
      </c>
      <c r="D68">
        <v>0.36363636363636359</v>
      </c>
      <c r="E68" t="s">
        <v>421</v>
      </c>
      <c r="F68" t="s">
        <v>420</v>
      </c>
      <c r="G68">
        <v>0.54347826086956519</v>
      </c>
      <c r="H68">
        <v>0.16748280772542129</v>
      </c>
    </row>
    <row r="69" spans="1:8" x14ac:dyDescent="0.2">
      <c r="A69" s="5"/>
      <c r="B69" t="s">
        <v>10</v>
      </c>
      <c r="C69">
        <v>0.58754208754208759</v>
      </c>
      <c r="D69">
        <v>0.5757575757575758</v>
      </c>
      <c r="E69" t="s">
        <v>419</v>
      </c>
      <c r="F69" t="s">
        <v>418</v>
      </c>
      <c r="G69">
        <v>0.79130434782608694</v>
      </c>
      <c r="H69">
        <v>0.26171546243504978</v>
      </c>
    </row>
    <row r="70" spans="1:8" x14ac:dyDescent="0.2">
      <c r="A70" s="5"/>
      <c r="B70" t="s">
        <v>11</v>
      </c>
      <c r="C70">
        <v>0.64745898359343723</v>
      </c>
      <c r="D70">
        <v>0.66666666666666663</v>
      </c>
      <c r="E70" t="s">
        <v>417</v>
      </c>
      <c r="F70" t="s">
        <v>416</v>
      </c>
      <c r="G70">
        <v>0.56304347826086965</v>
      </c>
      <c r="H70">
        <v>0.14174194434404719</v>
      </c>
    </row>
    <row r="71" spans="1:8" x14ac:dyDescent="0.2">
      <c r="A71" s="5"/>
      <c r="B71" t="s">
        <v>12</v>
      </c>
      <c r="C71">
        <v>0.45220141771865913</v>
      </c>
      <c r="D71">
        <v>0.48484848484848492</v>
      </c>
      <c r="E71" t="s">
        <v>415</v>
      </c>
      <c r="F71" t="s">
        <v>414</v>
      </c>
      <c r="G71">
        <v>0.73913043478260865</v>
      </c>
      <c r="H71">
        <v>0.3108349360801046</v>
      </c>
    </row>
    <row r="72" spans="1:8" x14ac:dyDescent="0.2">
      <c r="A72" s="5"/>
      <c r="B72" t="s">
        <v>13</v>
      </c>
      <c r="C72">
        <v>0.64462809917355379</v>
      </c>
      <c r="D72">
        <v>0.63636363636363635</v>
      </c>
      <c r="E72" t="s">
        <v>413</v>
      </c>
      <c r="F72" t="s">
        <v>412</v>
      </c>
      <c r="G72">
        <v>0.66521739130434787</v>
      </c>
      <c r="H72">
        <v>0.18691679485470999</v>
      </c>
    </row>
    <row r="73" spans="1:8" x14ac:dyDescent="0.2">
      <c r="A73" s="6"/>
      <c r="B73" t="s">
        <v>14</v>
      </c>
      <c r="C73">
        <v>0.31235431235431238</v>
      </c>
      <c r="D73">
        <v>0.39393939393939392</v>
      </c>
      <c r="E73" t="s">
        <v>411</v>
      </c>
      <c r="F73" t="s">
        <v>410</v>
      </c>
      <c r="G73">
        <v>0.62173913043478268</v>
      </c>
      <c r="H73">
        <v>0.2085144140570748</v>
      </c>
    </row>
    <row r="74" spans="1:8" x14ac:dyDescent="0.2">
      <c r="A74" s="4" t="s">
        <v>428</v>
      </c>
      <c r="B74" t="s">
        <v>7</v>
      </c>
      <c r="C74">
        <v>0.367003367003367</v>
      </c>
      <c r="D74">
        <v>0.39393939393939392</v>
      </c>
      <c r="E74" t="s">
        <v>425</v>
      </c>
      <c r="F74" t="s">
        <v>424</v>
      </c>
      <c r="G74">
        <v>0.62173913043478257</v>
      </c>
      <c r="H74">
        <v>1.9550613012972021E-2</v>
      </c>
    </row>
    <row r="75" spans="1:8" x14ac:dyDescent="0.2">
      <c r="A75" s="5"/>
      <c r="B75" t="s">
        <v>8</v>
      </c>
      <c r="C75">
        <v>0.14094432699083859</v>
      </c>
      <c r="D75">
        <v>0.30303030303030298</v>
      </c>
      <c r="E75" t="s">
        <v>423</v>
      </c>
      <c r="F75" t="s">
        <v>422</v>
      </c>
      <c r="G75">
        <v>0.5</v>
      </c>
      <c r="H75">
        <v>0</v>
      </c>
    </row>
    <row r="76" spans="1:8" x14ac:dyDescent="0.2">
      <c r="A76" s="5"/>
      <c r="B76" t="s">
        <v>9</v>
      </c>
      <c r="C76">
        <v>0.25933481152993348</v>
      </c>
      <c r="D76">
        <v>0.36363636363636359</v>
      </c>
      <c r="E76" t="s">
        <v>421</v>
      </c>
      <c r="F76" t="s">
        <v>420</v>
      </c>
      <c r="G76">
        <v>0.54347826086956519</v>
      </c>
      <c r="H76">
        <v>0.16748280772542129</v>
      </c>
    </row>
    <row r="77" spans="1:8" x14ac:dyDescent="0.2">
      <c r="A77" s="5"/>
      <c r="B77" t="s">
        <v>10</v>
      </c>
      <c r="C77">
        <v>0.58754208754208759</v>
      </c>
      <c r="D77">
        <v>0.5757575757575758</v>
      </c>
      <c r="E77" t="s">
        <v>419</v>
      </c>
      <c r="F77" t="s">
        <v>418</v>
      </c>
      <c r="G77">
        <v>0.79130434782608694</v>
      </c>
      <c r="H77">
        <v>0.26171546243504978</v>
      </c>
    </row>
    <row r="78" spans="1:8" x14ac:dyDescent="0.2">
      <c r="A78" s="5"/>
      <c r="B78" t="s">
        <v>11</v>
      </c>
      <c r="C78">
        <v>0.64745898359343723</v>
      </c>
      <c r="D78">
        <v>0.66666666666666663</v>
      </c>
      <c r="E78" t="s">
        <v>417</v>
      </c>
      <c r="F78" t="s">
        <v>416</v>
      </c>
      <c r="G78">
        <v>0.56304347826086965</v>
      </c>
      <c r="H78">
        <v>0.14174194434404719</v>
      </c>
    </row>
    <row r="79" spans="1:8" x14ac:dyDescent="0.2">
      <c r="A79" s="5"/>
      <c r="B79" t="s">
        <v>12</v>
      </c>
      <c r="C79">
        <v>0.45220141771865913</v>
      </c>
      <c r="D79">
        <v>0.48484848484848492</v>
      </c>
      <c r="E79" t="s">
        <v>415</v>
      </c>
      <c r="F79" t="s">
        <v>414</v>
      </c>
      <c r="G79">
        <v>0.73913043478260865</v>
      </c>
      <c r="H79">
        <v>0.3108349360801046</v>
      </c>
    </row>
    <row r="80" spans="1:8" x14ac:dyDescent="0.2">
      <c r="A80" s="5"/>
      <c r="B80" t="s">
        <v>13</v>
      </c>
      <c r="C80">
        <v>0.64462809917355379</v>
      </c>
      <c r="D80">
        <v>0.63636363636363635</v>
      </c>
      <c r="E80" t="s">
        <v>413</v>
      </c>
      <c r="F80" t="s">
        <v>412</v>
      </c>
      <c r="G80">
        <v>0.66521739130434787</v>
      </c>
      <c r="H80">
        <v>0.18691679485470999</v>
      </c>
    </row>
    <row r="81" spans="1:8" x14ac:dyDescent="0.2">
      <c r="A81" s="6"/>
      <c r="B81" t="s">
        <v>14</v>
      </c>
      <c r="C81">
        <v>0.31235431235431238</v>
      </c>
      <c r="D81">
        <v>0.39393939393939392</v>
      </c>
      <c r="E81" t="s">
        <v>411</v>
      </c>
      <c r="F81" t="s">
        <v>410</v>
      </c>
      <c r="G81">
        <v>0.62173913043478268</v>
      </c>
      <c r="H81">
        <v>0.2085144140570748</v>
      </c>
    </row>
    <row r="82" spans="1:8" x14ac:dyDescent="0.2">
      <c r="A82" s="4" t="s">
        <v>427</v>
      </c>
      <c r="B82" t="s">
        <v>7</v>
      </c>
      <c r="C82">
        <v>0.367003367003367</v>
      </c>
      <c r="D82">
        <v>0.39393939393939392</v>
      </c>
      <c r="E82" t="s">
        <v>425</v>
      </c>
      <c r="F82" t="s">
        <v>424</v>
      </c>
      <c r="G82">
        <v>0.62173913043478257</v>
      </c>
      <c r="H82">
        <v>1.9550613012972021E-2</v>
      </c>
    </row>
    <row r="83" spans="1:8" x14ac:dyDescent="0.2">
      <c r="A83" s="5"/>
      <c r="B83" t="s">
        <v>8</v>
      </c>
      <c r="C83">
        <v>0.14094432699083859</v>
      </c>
      <c r="D83">
        <v>0.30303030303030298</v>
      </c>
      <c r="E83" t="s">
        <v>423</v>
      </c>
      <c r="F83" t="s">
        <v>422</v>
      </c>
      <c r="G83">
        <v>0.5</v>
      </c>
      <c r="H83">
        <v>0</v>
      </c>
    </row>
    <row r="84" spans="1:8" x14ac:dyDescent="0.2">
      <c r="A84" s="5"/>
      <c r="B84" t="s">
        <v>9</v>
      </c>
      <c r="C84">
        <v>0.25933481152993348</v>
      </c>
      <c r="D84">
        <v>0.36363636363636359</v>
      </c>
      <c r="E84" t="s">
        <v>421</v>
      </c>
      <c r="F84" t="s">
        <v>420</v>
      </c>
      <c r="G84">
        <v>0.54347826086956519</v>
      </c>
      <c r="H84">
        <v>0.16748280772542129</v>
      </c>
    </row>
    <row r="85" spans="1:8" x14ac:dyDescent="0.2">
      <c r="A85" s="5"/>
      <c r="B85" t="s">
        <v>10</v>
      </c>
      <c r="C85">
        <v>0.58754208754208759</v>
      </c>
      <c r="D85">
        <v>0.5757575757575758</v>
      </c>
      <c r="E85" t="s">
        <v>419</v>
      </c>
      <c r="F85" t="s">
        <v>418</v>
      </c>
      <c r="G85">
        <v>0.79130434782608694</v>
      </c>
      <c r="H85">
        <v>0.26171546243504978</v>
      </c>
    </row>
    <row r="86" spans="1:8" x14ac:dyDescent="0.2">
      <c r="A86" s="5"/>
      <c r="B86" t="s">
        <v>11</v>
      </c>
      <c r="C86">
        <v>0.64745898359343723</v>
      </c>
      <c r="D86">
        <v>0.66666666666666663</v>
      </c>
      <c r="E86" t="s">
        <v>417</v>
      </c>
      <c r="F86" t="s">
        <v>416</v>
      </c>
      <c r="G86">
        <v>0.56304347826086965</v>
      </c>
      <c r="H86">
        <v>0.14174194434404719</v>
      </c>
    </row>
    <row r="87" spans="1:8" x14ac:dyDescent="0.2">
      <c r="A87" s="5"/>
      <c r="B87" t="s">
        <v>12</v>
      </c>
      <c r="C87">
        <v>0.45220141771865913</v>
      </c>
      <c r="D87">
        <v>0.48484848484848492</v>
      </c>
      <c r="E87" t="s">
        <v>415</v>
      </c>
      <c r="F87" t="s">
        <v>414</v>
      </c>
      <c r="G87">
        <v>0.73913043478260865</v>
      </c>
      <c r="H87">
        <v>0.3108349360801046</v>
      </c>
    </row>
    <row r="88" spans="1:8" x14ac:dyDescent="0.2">
      <c r="A88" s="5"/>
      <c r="B88" t="s">
        <v>13</v>
      </c>
      <c r="C88">
        <v>0.64462809917355379</v>
      </c>
      <c r="D88">
        <v>0.63636363636363635</v>
      </c>
      <c r="E88" t="s">
        <v>413</v>
      </c>
      <c r="F88" t="s">
        <v>412</v>
      </c>
      <c r="G88">
        <v>0.66521739130434787</v>
      </c>
      <c r="H88">
        <v>0.18691679485470999</v>
      </c>
    </row>
    <row r="89" spans="1:8" x14ac:dyDescent="0.2">
      <c r="A89" s="6"/>
      <c r="B89" t="s">
        <v>14</v>
      </c>
      <c r="C89">
        <v>0.31235431235431238</v>
      </c>
      <c r="D89">
        <v>0.39393939393939392</v>
      </c>
      <c r="E89" t="s">
        <v>411</v>
      </c>
      <c r="F89" t="s">
        <v>410</v>
      </c>
      <c r="G89">
        <v>0.62173913043478268</v>
      </c>
      <c r="H89">
        <v>0.2085144140570748</v>
      </c>
    </row>
    <row r="90" spans="1:8" x14ac:dyDescent="0.2">
      <c r="A90" s="4" t="s">
        <v>426</v>
      </c>
      <c r="B90" t="s">
        <v>7</v>
      </c>
      <c r="C90">
        <v>0.367003367003367</v>
      </c>
      <c r="D90">
        <v>0.39393939393939392</v>
      </c>
      <c r="E90" t="s">
        <v>425</v>
      </c>
      <c r="F90" t="s">
        <v>424</v>
      </c>
      <c r="G90">
        <v>0.62173913043478257</v>
      </c>
      <c r="H90">
        <v>1.9550613012972021E-2</v>
      </c>
    </row>
    <row r="91" spans="1:8" x14ac:dyDescent="0.2">
      <c r="A91" s="5"/>
      <c r="B91" t="s">
        <v>8</v>
      </c>
      <c r="C91">
        <v>0.14094432699083859</v>
      </c>
      <c r="D91">
        <v>0.30303030303030298</v>
      </c>
      <c r="E91" t="s">
        <v>423</v>
      </c>
      <c r="F91" t="s">
        <v>422</v>
      </c>
      <c r="G91">
        <v>0.5</v>
      </c>
      <c r="H91">
        <v>0</v>
      </c>
    </row>
    <row r="92" spans="1:8" x14ac:dyDescent="0.2">
      <c r="A92" s="5"/>
      <c r="B92" t="s">
        <v>9</v>
      </c>
      <c r="C92">
        <v>0.25933481152993348</v>
      </c>
      <c r="D92">
        <v>0.36363636363636359</v>
      </c>
      <c r="E92" t="s">
        <v>421</v>
      </c>
      <c r="F92" t="s">
        <v>420</v>
      </c>
      <c r="G92">
        <v>0.54347826086956519</v>
      </c>
      <c r="H92">
        <v>0.16748280772542129</v>
      </c>
    </row>
    <row r="93" spans="1:8" x14ac:dyDescent="0.2">
      <c r="A93" s="5"/>
      <c r="B93" t="s">
        <v>10</v>
      </c>
      <c r="C93">
        <v>0.58754208754208759</v>
      </c>
      <c r="D93">
        <v>0.5757575757575758</v>
      </c>
      <c r="E93" t="s">
        <v>419</v>
      </c>
      <c r="F93" t="s">
        <v>418</v>
      </c>
      <c r="G93">
        <v>0.79130434782608694</v>
      </c>
      <c r="H93">
        <v>0.26171546243504978</v>
      </c>
    </row>
    <row r="94" spans="1:8" x14ac:dyDescent="0.2">
      <c r="A94" s="5"/>
      <c r="B94" t="s">
        <v>11</v>
      </c>
      <c r="C94">
        <v>0.64745898359343723</v>
      </c>
      <c r="D94">
        <v>0.66666666666666663</v>
      </c>
      <c r="E94" t="s">
        <v>417</v>
      </c>
      <c r="F94" t="s">
        <v>416</v>
      </c>
      <c r="G94">
        <v>0.56304347826086965</v>
      </c>
      <c r="H94">
        <v>0.14174194434404719</v>
      </c>
    </row>
    <row r="95" spans="1:8" x14ac:dyDescent="0.2">
      <c r="A95" s="5"/>
      <c r="B95" t="s">
        <v>12</v>
      </c>
      <c r="C95">
        <v>0.45220141771865913</v>
      </c>
      <c r="D95">
        <v>0.48484848484848492</v>
      </c>
      <c r="E95" t="s">
        <v>415</v>
      </c>
      <c r="F95" t="s">
        <v>414</v>
      </c>
      <c r="G95">
        <v>0.73913043478260865</v>
      </c>
      <c r="H95">
        <v>0.3108349360801046</v>
      </c>
    </row>
    <row r="96" spans="1:8" x14ac:dyDescent="0.2">
      <c r="A96" s="5"/>
      <c r="B96" t="s">
        <v>13</v>
      </c>
      <c r="C96">
        <v>0.64462809917355379</v>
      </c>
      <c r="D96">
        <v>0.63636363636363635</v>
      </c>
      <c r="E96" t="s">
        <v>413</v>
      </c>
      <c r="F96" t="s">
        <v>412</v>
      </c>
      <c r="G96">
        <v>0.66521739130434787</v>
      </c>
      <c r="H96">
        <v>0.18691679485470999</v>
      </c>
    </row>
    <row r="97" spans="1:8" x14ac:dyDescent="0.2">
      <c r="A97" s="6"/>
      <c r="B97" t="s">
        <v>14</v>
      </c>
      <c r="C97">
        <v>0.31235431235431238</v>
      </c>
      <c r="D97">
        <v>0.39393939393939392</v>
      </c>
      <c r="E97" t="s">
        <v>411</v>
      </c>
      <c r="F97" t="s">
        <v>410</v>
      </c>
      <c r="G97">
        <v>0.62173913043478268</v>
      </c>
      <c r="H97">
        <v>0.2085144140570748</v>
      </c>
    </row>
    <row r="98" spans="1:8" x14ac:dyDescent="0.2">
      <c r="A98" s="4" t="s">
        <v>409</v>
      </c>
      <c r="B98" t="s">
        <v>7</v>
      </c>
      <c r="C98">
        <v>0.47089947089947098</v>
      </c>
      <c r="D98">
        <v>0.48717948717948723</v>
      </c>
      <c r="E98" t="s">
        <v>405</v>
      </c>
      <c r="F98" t="s">
        <v>404</v>
      </c>
      <c r="G98">
        <v>0.56952662721893488</v>
      </c>
      <c r="H98">
        <v>0.16609095970747989</v>
      </c>
    </row>
    <row r="99" spans="1:8" x14ac:dyDescent="0.2">
      <c r="A99" s="5"/>
      <c r="B99" t="s">
        <v>8</v>
      </c>
      <c r="C99">
        <v>0.53333333333333333</v>
      </c>
      <c r="D99">
        <v>0.66666666666666663</v>
      </c>
      <c r="E99" t="s">
        <v>397</v>
      </c>
      <c r="F99" t="s">
        <v>396</v>
      </c>
      <c r="G99">
        <v>0.5</v>
      </c>
      <c r="H99">
        <v>0</v>
      </c>
    </row>
    <row r="100" spans="1:8" x14ac:dyDescent="0.2">
      <c r="A100" s="5"/>
      <c r="B100" t="s">
        <v>9</v>
      </c>
      <c r="C100">
        <v>0.48087431693989058</v>
      </c>
      <c r="D100">
        <v>0.5641025641025641</v>
      </c>
      <c r="E100" t="s">
        <v>403</v>
      </c>
      <c r="F100" t="s">
        <v>402</v>
      </c>
      <c r="G100">
        <v>0.42307692307692307</v>
      </c>
      <c r="H100">
        <v>-0.2390457218668787</v>
      </c>
    </row>
    <row r="101" spans="1:8" x14ac:dyDescent="0.2">
      <c r="A101" s="5"/>
      <c r="B101" t="s">
        <v>10</v>
      </c>
      <c r="C101">
        <v>0.53333333333333333</v>
      </c>
      <c r="D101">
        <v>0.66666666666666663</v>
      </c>
      <c r="E101" t="s">
        <v>397</v>
      </c>
      <c r="F101" t="s">
        <v>396</v>
      </c>
      <c r="G101">
        <v>0.44970414201183428</v>
      </c>
      <c r="H101">
        <v>0</v>
      </c>
    </row>
    <row r="102" spans="1:8" x14ac:dyDescent="0.2">
      <c r="A102" s="5"/>
      <c r="B102" t="s">
        <v>11</v>
      </c>
      <c r="C102">
        <v>0.57643097643097641</v>
      </c>
      <c r="D102">
        <v>0.5641025641025641</v>
      </c>
      <c r="E102" t="s">
        <v>401</v>
      </c>
      <c r="F102" t="s">
        <v>400</v>
      </c>
      <c r="G102">
        <v>0.57692307692307687</v>
      </c>
      <c r="H102">
        <v>0.1450952500220023</v>
      </c>
    </row>
    <row r="103" spans="1:8" x14ac:dyDescent="0.2">
      <c r="A103" s="5"/>
      <c r="B103" t="s">
        <v>12</v>
      </c>
      <c r="C103">
        <v>0.52619537863189203</v>
      </c>
      <c r="D103">
        <v>0.51282051282051277</v>
      </c>
      <c r="E103" t="s">
        <v>399</v>
      </c>
      <c r="F103" t="s">
        <v>398</v>
      </c>
      <c r="G103">
        <v>0.49112426035502948</v>
      </c>
      <c r="H103">
        <v>0</v>
      </c>
    </row>
    <row r="104" spans="1:8" x14ac:dyDescent="0.2">
      <c r="A104" s="5"/>
      <c r="B104" t="s">
        <v>13</v>
      </c>
      <c r="C104">
        <v>0.53333333333333333</v>
      </c>
      <c r="D104">
        <v>0.66666666666666663</v>
      </c>
      <c r="E104" t="s">
        <v>397</v>
      </c>
      <c r="F104" t="s">
        <v>396</v>
      </c>
      <c r="G104">
        <v>0.36390532544378701</v>
      </c>
      <c r="H104">
        <v>0</v>
      </c>
    </row>
    <row r="105" spans="1:8" x14ac:dyDescent="0.2">
      <c r="A105" s="6"/>
      <c r="B105" t="s">
        <v>14</v>
      </c>
      <c r="C105">
        <v>0.54999999999999993</v>
      </c>
      <c r="D105">
        <v>0.53846153846153844</v>
      </c>
      <c r="E105" t="s">
        <v>395</v>
      </c>
      <c r="F105" t="s">
        <v>394</v>
      </c>
      <c r="G105">
        <v>0.54142011834319526</v>
      </c>
      <c r="H105">
        <v>3.6563621206356527E-2</v>
      </c>
    </row>
    <row r="106" spans="1:8" x14ac:dyDescent="0.2">
      <c r="A106" s="4" t="s">
        <v>408</v>
      </c>
      <c r="B106" t="s">
        <v>7</v>
      </c>
      <c r="C106">
        <v>0.47089947089947098</v>
      </c>
      <c r="D106">
        <v>0.48717948717948723</v>
      </c>
      <c r="E106" t="s">
        <v>405</v>
      </c>
      <c r="F106" t="s">
        <v>404</v>
      </c>
      <c r="G106">
        <v>0.56952662721893488</v>
      </c>
      <c r="H106">
        <v>0.16609095970747989</v>
      </c>
    </row>
    <row r="107" spans="1:8" x14ac:dyDescent="0.2">
      <c r="A107" s="5"/>
      <c r="B107" t="s">
        <v>8</v>
      </c>
      <c r="C107">
        <v>0.53333333333333333</v>
      </c>
      <c r="D107">
        <v>0.66666666666666663</v>
      </c>
      <c r="E107" t="s">
        <v>397</v>
      </c>
      <c r="F107" t="s">
        <v>396</v>
      </c>
      <c r="G107">
        <v>0.5</v>
      </c>
      <c r="H107">
        <v>0</v>
      </c>
    </row>
    <row r="108" spans="1:8" x14ac:dyDescent="0.2">
      <c r="A108" s="5"/>
      <c r="B108" t="s">
        <v>9</v>
      </c>
      <c r="C108">
        <v>0.48087431693989058</v>
      </c>
      <c r="D108">
        <v>0.5641025641025641</v>
      </c>
      <c r="E108" t="s">
        <v>403</v>
      </c>
      <c r="F108" t="s">
        <v>402</v>
      </c>
      <c r="G108">
        <v>0.42307692307692307</v>
      </c>
      <c r="H108">
        <v>-0.2390457218668787</v>
      </c>
    </row>
    <row r="109" spans="1:8" x14ac:dyDescent="0.2">
      <c r="A109" s="5"/>
      <c r="B109" t="s">
        <v>10</v>
      </c>
      <c r="C109">
        <v>0.53333333333333333</v>
      </c>
      <c r="D109">
        <v>0.66666666666666663</v>
      </c>
      <c r="E109" t="s">
        <v>397</v>
      </c>
      <c r="F109" t="s">
        <v>396</v>
      </c>
      <c r="G109">
        <v>0.44970414201183428</v>
      </c>
      <c r="H109">
        <v>0</v>
      </c>
    </row>
    <row r="110" spans="1:8" x14ac:dyDescent="0.2">
      <c r="A110" s="5"/>
      <c r="B110" t="s">
        <v>11</v>
      </c>
      <c r="C110">
        <v>0.57643097643097641</v>
      </c>
      <c r="D110">
        <v>0.5641025641025641</v>
      </c>
      <c r="E110" t="s">
        <v>401</v>
      </c>
      <c r="F110" t="s">
        <v>400</v>
      </c>
      <c r="G110">
        <v>0.57692307692307687</v>
      </c>
      <c r="H110">
        <v>0.1450952500220023</v>
      </c>
    </row>
    <row r="111" spans="1:8" x14ac:dyDescent="0.2">
      <c r="A111" s="5"/>
      <c r="B111" t="s">
        <v>12</v>
      </c>
      <c r="C111">
        <v>0.52619537863189203</v>
      </c>
      <c r="D111">
        <v>0.51282051282051277</v>
      </c>
      <c r="E111" t="s">
        <v>399</v>
      </c>
      <c r="F111" t="s">
        <v>398</v>
      </c>
      <c r="G111">
        <v>0.49112426035502948</v>
      </c>
      <c r="H111">
        <v>0</v>
      </c>
    </row>
    <row r="112" spans="1:8" x14ac:dyDescent="0.2">
      <c r="A112" s="5"/>
      <c r="B112" t="s">
        <v>13</v>
      </c>
      <c r="C112">
        <v>0.53333333333333333</v>
      </c>
      <c r="D112">
        <v>0.66666666666666663</v>
      </c>
      <c r="E112" t="s">
        <v>397</v>
      </c>
      <c r="F112" t="s">
        <v>396</v>
      </c>
      <c r="G112">
        <v>0.36390532544378701</v>
      </c>
      <c r="H112">
        <v>0</v>
      </c>
    </row>
    <row r="113" spans="1:8" x14ac:dyDescent="0.2">
      <c r="A113" s="6"/>
      <c r="B113" t="s">
        <v>14</v>
      </c>
      <c r="C113">
        <v>0.54999999999999993</v>
      </c>
      <c r="D113">
        <v>0.53846153846153844</v>
      </c>
      <c r="E113" t="s">
        <v>395</v>
      </c>
      <c r="F113" t="s">
        <v>394</v>
      </c>
      <c r="G113">
        <v>0.54142011834319526</v>
      </c>
      <c r="H113">
        <v>3.6563621206356527E-2</v>
      </c>
    </row>
    <row r="114" spans="1:8" x14ac:dyDescent="0.2">
      <c r="A114" s="4" t="s">
        <v>407</v>
      </c>
      <c r="B114" t="s">
        <v>7</v>
      </c>
      <c r="C114">
        <v>0.47089947089947098</v>
      </c>
      <c r="D114">
        <v>0.48717948717948723</v>
      </c>
      <c r="E114" t="s">
        <v>405</v>
      </c>
      <c r="F114" t="s">
        <v>404</v>
      </c>
      <c r="G114">
        <v>0.56952662721893488</v>
      </c>
      <c r="H114">
        <v>0.16609095970747989</v>
      </c>
    </row>
    <row r="115" spans="1:8" x14ac:dyDescent="0.2">
      <c r="A115" s="5"/>
      <c r="B115" t="s">
        <v>8</v>
      </c>
      <c r="C115">
        <v>0.53333333333333333</v>
      </c>
      <c r="D115">
        <v>0.66666666666666663</v>
      </c>
      <c r="E115" t="s">
        <v>397</v>
      </c>
      <c r="F115" t="s">
        <v>396</v>
      </c>
      <c r="G115">
        <v>0.5</v>
      </c>
      <c r="H115">
        <v>0</v>
      </c>
    </row>
    <row r="116" spans="1:8" x14ac:dyDescent="0.2">
      <c r="A116" s="5"/>
      <c r="B116" t="s">
        <v>9</v>
      </c>
      <c r="C116">
        <v>0.48087431693989058</v>
      </c>
      <c r="D116">
        <v>0.5641025641025641</v>
      </c>
      <c r="E116" t="s">
        <v>403</v>
      </c>
      <c r="F116" t="s">
        <v>402</v>
      </c>
      <c r="G116">
        <v>0.42307692307692307</v>
      </c>
      <c r="H116">
        <v>-0.2390457218668787</v>
      </c>
    </row>
    <row r="117" spans="1:8" x14ac:dyDescent="0.2">
      <c r="A117" s="5"/>
      <c r="B117" t="s">
        <v>10</v>
      </c>
      <c r="C117">
        <v>0.53333333333333333</v>
      </c>
      <c r="D117">
        <v>0.66666666666666663</v>
      </c>
      <c r="E117" t="s">
        <v>397</v>
      </c>
      <c r="F117" t="s">
        <v>396</v>
      </c>
      <c r="G117">
        <v>0.44970414201183428</v>
      </c>
      <c r="H117">
        <v>0</v>
      </c>
    </row>
    <row r="118" spans="1:8" x14ac:dyDescent="0.2">
      <c r="A118" s="5"/>
      <c r="B118" t="s">
        <v>11</v>
      </c>
      <c r="C118">
        <v>0.57643097643097641</v>
      </c>
      <c r="D118">
        <v>0.5641025641025641</v>
      </c>
      <c r="E118" t="s">
        <v>401</v>
      </c>
      <c r="F118" t="s">
        <v>400</v>
      </c>
      <c r="G118">
        <v>0.57692307692307687</v>
      </c>
      <c r="H118">
        <v>0.1450952500220023</v>
      </c>
    </row>
    <row r="119" spans="1:8" x14ac:dyDescent="0.2">
      <c r="A119" s="5"/>
      <c r="B119" t="s">
        <v>12</v>
      </c>
      <c r="C119">
        <v>0.52619537863189203</v>
      </c>
      <c r="D119">
        <v>0.51282051282051277</v>
      </c>
      <c r="E119" t="s">
        <v>399</v>
      </c>
      <c r="F119" t="s">
        <v>398</v>
      </c>
      <c r="G119">
        <v>0.49112426035502948</v>
      </c>
      <c r="H119">
        <v>0</v>
      </c>
    </row>
    <row r="120" spans="1:8" x14ac:dyDescent="0.2">
      <c r="A120" s="5"/>
      <c r="B120" t="s">
        <v>13</v>
      </c>
      <c r="C120">
        <v>0.53333333333333333</v>
      </c>
      <c r="D120">
        <v>0.66666666666666663</v>
      </c>
      <c r="E120" t="s">
        <v>397</v>
      </c>
      <c r="F120" t="s">
        <v>396</v>
      </c>
      <c r="G120">
        <v>0.36390532544378701</v>
      </c>
      <c r="H120">
        <v>0</v>
      </c>
    </row>
    <row r="121" spans="1:8" x14ac:dyDescent="0.2">
      <c r="A121" s="6"/>
      <c r="B121" t="s">
        <v>14</v>
      </c>
      <c r="C121">
        <v>0.54999999999999993</v>
      </c>
      <c r="D121">
        <v>0.53846153846153844</v>
      </c>
      <c r="E121" t="s">
        <v>395</v>
      </c>
      <c r="F121" t="s">
        <v>394</v>
      </c>
      <c r="G121">
        <v>0.54142011834319526</v>
      </c>
      <c r="H121">
        <v>3.6563621206356527E-2</v>
      </c>
    </row>
    <row r="122" spans="1:8" x14ac:dyDescent="0.2">
      <c r="A122" s="4" t="s">
        <v>406</v>
      </c>
      <c r="B122" t="s">
        <v>7</v>
      </c>
      <c r="C122">
        <v>0.47089947089947098</v>
      </c>
      <c r="D122">
        <v>0.48717948717948723</v>
      </c>
      <c r="E122" t="s">
        <v>405</v>
      </c>
      <c r="F122" t="s">
        <v>404</v>
      </c>
      <c r="G122">
        <v>0.56952662721893488</v>
      </c>
      <c r="H122">
        <v>0.16609095970747989</v>
      </c>
    </row>
    <row r="123" spans="1:8" x14ac:dyDescent="0.2">
      <c r="A123" s="5"/>
      <c r="B123" t="s">
        <v>8</v>
      </c>
      <c r="C123">
        <v>0.53333333333333333</v>
      </c>
      <c r="D123">
        <v>0.66666666666666663</v>
      </c>
      <c r="E123" t="s">
        <v>397</v>
      </c>
      <c r="F123" t="s">
        <v>396</v>
      </c>
      <c r="G123">
        <v>0.5</v>
      </c>
      <c r="H123">
        <v>0</v>
      </c>
    </row>
    <row r="124" spans="1:8" x14ac:dyDescent="0.2">
      <c r="A124" s="5"/>
      <c r="B124" t="s">
        <v>9</v>
      </c>
      <c r="C124">
        <v>0.48087431693989058</v>
      </c>
      <c r="D124">
        <v>0.5641025641025641</v>
      </c>
      <c r="E124" t="s">
        <v>403</v>
      </c>
      <c r="F124" t="s">
        <v>402</v>
      </c>
      <c r="G124">
        <v>0.42307692307692307</v>
      </c>
      <c r="H124">
        <v>-0.2390457218668787</v>
      </c>
    </row>
    <row r="125" spans="1:8" x14ac:dyDescent="0.2">
      <c r="A125" s="5"/>
      <c r="B125" t="s">
        <v>10</v>
      </c>
      <c r="C125">
        <v>0.53333333333333333</v>
      </c>
      <c r="D125">
        <v>0.66666666666666663</v>
      </c>
      <c r="E125" t="s">
        <v>397</v>
      </c>
      <c r="F125" t="s">
        <v>396</v>
      </c>
      <c r="G125">
        <v>0.44970414201183428</v>
      </c>
      <c r="H125">
        <v>0</v>
      </c>
    </row>
    <row r="126" spans="1:8" x14ac:dyDescent="0.2">
      <c r="A126" s="5"/>
      <c r="B126" t="s">
        <v>11</v>
      </c>
      <c r="C126">
        <v>0.57643097643097641</v>
      </c>
      <c r="D126">
        <v>0.5641025641025641</v>
      </c>
      <c r="E126" t="s">
        <v>401</v>
      </c>
      <c r="F126" t="s">
        <v>400</v>
      </c>
      <c r="G126">
        <v>0.57692307692307687</v>
      </c>
      <c r="H126">
        <v>0.1450952500220023</v>
      </c>
    </row>
    <row r="127" spans="1:8" x14ac:dyDescent="0.2">
      <c r="A127" s="5"/>
      <c r="B127" t="s">
        <v>12</v>
      </c>
      <c r="C127">
        <v>0.52619537863189203</v>
      </c>
      <c r="D127">
        <v>0.51282051282051277</v>
      </c>
      <c r="E127" t="s">
        <v>399</v>
      </c>
      <c r="F127" t="s">
        <v>398</v>
      </c>
      <c r="G127">
        <v>0.49112426035502948</v>
      </c>
      <c r="H127">
        <v>0</v>
      </c>
    </row>
    <row r="128" spans="1:8" x14ac:dyDescent="0.2">
      <c r="A128" s="5"/>
      <c r="B128" t="s">
        <v>13</v>
      </c>
      <c r="C128">
        <v>0.53333333333333333</v>
      </c>
      <c r="D128">
        <v>0.66666666666666663</v>
      </c>
      <c r="E128" t="s">
        <v>397</v>
      </c>
      <c r="F128" t="s">
        <v>396</v>
      </c>
      <c r="G128">
        <v>0.36390532544378701</v>
      </c>
      <c r="H128">
        <v>0</v>
      </c>
    </row>
    <row r="129" spans="1:8" x14ac:dyDescent="0.2">
      <c r="A129" s="6"/>
      <c r="B129" t="s">
        <v>14</v>
      </c>
      <c r="C129">
        <v>0.54999999999999993</v>
      </c>
      <c r="D129">
        <v>0.53846153846153844</v>
      </c>
      <c r="E129" t="s">
        <v>395</v>
      </c>
      <c r="F129" t="s">
        <v>394</v>
      </c>
      <c r="G129">
        <v>0.54142011834319526</v>
      </c>
      <c r="H129">
        <v>3.6563621206356527E-2</v>
      </c>
    </row>
    <row r="130" spans="1:8" x14ac:dyDescent="0.2">
      <c r="A130" s="4" t="s">
        <v>393</v>
      </c>
      <c r="B130" t="s">
        <v>7</v>
      </c>
      <c r="C130">
        <v>0.55921855921855923</v>
      </c>
      <c r="D130">
        <v>0.55555555555555558</v>
      </c>
      <c r="E130" t="s">
        <v>387</v>
      </c>
      <c r="F130" t="s">
        <v>386</v>
      </c>
      <c r="G130">
        <v>0.4088235294117647</v>
      </c>
      <c r="H130">
        <v>0.16765526764779409</v>
      </c>
    </row>
    <row r="131" spans="1:8" x14ac:dyDescent="0.2">
      <c r="A131" s="5"/>
      <c r="B131" t="s">
        <v>8</v>
      </c>
      <c r="C131">
        <v>0.1693121693121693</v>
      </c>
      <c r="D131">
        <v>0.29629629629629628</v>
      </c>
      <c r="E131" t="s">
        <v>390</v>
      </c>
      <c r="F131" t="s">
        <v>389</v>
      </c>
      <c r="G131">
        <v>0.4</v>
      </c>
      <c r="H131">
        <v>-0.36878177829171549</v>
      </c>
    </row>
    <row r="132" spans="1:8" x14ac:dyDescent="0.2">
      <c r="A132" s="5"/>
      <c r="B132" t="s">
        <v>9</v>
      </c>
      <c r="C132">
        <v>0.5651867512332629</v>
      </c>
      <c r="D132">
        <v>0.66666666666666663</v>
      </c>
      <c r="E132" t="s">
        <v>383</v>
      </c>
      <c r="F132" t="s">
        <v>382</v>
      </c>
      <c r="G132">
        <v>0.55000000000000004</v>
      </c>
      <c r="H132">
        <v>0.25570415597837942</v>
      </c>
    </row>
    <row r="133" spans="1:8" x14ac:dyDescent="0.2">
      <c r="A133" s="5"/>
      <c r="B133" t="s">
        <v>10</v>
      </c>
      <c r="C133">
        <v>0.54144620811287492</v>
      </c>
      <c r="D133">
        <v>0.62962962962962965</v>
      </c>
      <c r="E133" t="s">
        <v>381</v>
      </c>
      <c r="F133" t="s">
        <v>380</v>
      </c>
      <c r="G133">
        <v>0.44117647058823528</v>
      </c>
      <c r="H133">
        <v>7.5925660236529663E-2</v>
      </c>
    </row>
    <row r="134" spans="1:8" x14ac:dyDescent="0.2">
      <c r="A134" s="5"/>
      <c r="B134" t="s">
        <v>11</v>
      </c>
      <c r="C134">
        <v>0.41794735912382969</v>
      </c>
      <c r="D134">
        <v>0.44444444444444442</v>
      </c>
      <c r="E134" t="s">
        <v>379</v>
      </c>
      <c r="F134" t="s">
        <v>378</v>
      </c>
      <c r="G134">
        <v>0.37352941176470589</v>
      </c>
      <c r="H134">
        <v>-0.27872760112743072</v>
      </c>
    </row>
    <row r="135" spans="1:8" x14ac:dyDescent="0.2">
      <c r="A135" s="5"/>
      <c r="B135" t="s">
        <v>12</v>
      </c>
      <c r="C135">
        <v>0.44444444444444442</v>
      </c>
      <c r="D135">
        <v>0.44444444444444442</v>
      </c>
      <c r="E135" t="s">
        <v>377</v>
      </c>
      <c r="F135" t="s">
        <v>376</v>
      </c>
      <c r="G135">
        <v>0.4705882352941177</v>
      </c>
      <c r="H135">
        <v>-4.7058823529411757E-2</v>
      </c>
    </row>
    <row r="136" spans="1:8" x14ac:dyDescent="0.2">
      <c r="A136" s="5"/>
      <c r="B136" t="s">
        <v>13</v>
      </c>
      <c r="C136">
        <v>0.63315696649029984</v>
      </c>
      <c r="D136">
        <v>0.70370370370370372</v>
      </c>
      <c r="E136" t="s">
        <v>375</v>
      </c>
      <c r="F136" t="s">
        <v>374</v>
      </c>
      <c r="G136">
        <v>0.69411764705882351</v>
      </c>
      <c r="H136">
        <v>0.36878177829171549</v>
      </c>
    </row>
    <row r="137" spans="1:8" x14ac:dyDescent="0.2">
      <c r="A137" s="6"/>
      <c r="B137" t="s">
        <v>14</v>
      </c>
      <c r="C137">
        <v>0.32200435729847499</v>
      </c>
      <c r="D137">
        <v>0.40740740740740738</v>
      </c>
      <c r="E137" t="s">
        <v>373</v>
      </c>
      <c r="F137" t="s">
        <v>372</v>
      </c>
      <c r="G137">
        <v>0.60294117647058831</v>
      </c>
      <c r="H137">
        <v>2.711630722733202E-2</v>
      </c>
    </row>
    <row r="138" spans="1:8" x14ac:dyDescent="0.2">
      <c r="A138" s="4" t="s">
        <v>392</v>
      </c>
      <c r="B138" t="s">
        <v>7</v>
      </c>
      <c r="C138">
        <v>0.55921855921855923</v>
      </c>
      <c r="D138">
        <v>0.55555555555555558</v>
      </c>
      <c r="E138" t="s">
        <v>387</v>
      </c>
      <c r="F138" t="s">
        <v>386</v>
      </c>
      <c r="G138">
        <v>0.4088235294117647</v>
      </c>
      <c r="H138">
        <v>0.16765526764779409</v>
      </c>
    </row>
    <row r="139" spans="1:8" x14ac:dyDescent="0.2">
      <c r="A139" s="5"/>
      <c r="B139" t="s">
        <v>8</v>
      </c>
      <c r="C139">
        <v>0.21709155042488371</v>
      </c>
      <c r="D139">
        <v>0.29629629629629628</v>
      </c>
      <c r="E139" t="s">
        <v>385</v>
      </c>
      <c r="F139" t="s">
        <v>384</v>
      </c>
      <c r="G139">
        <v>0.37941176470588228</v>
      </c>
      <c r="H139">
        <v>-0.32784267326619071</v>
      </c>
    </row>
    <row r="140" spans="1:8" x14ac:dyDescent="0.2">
      <c r="A140" s="5"/>
      <c r="B140" t="s">
        <v>9</v>
      </c>
      <c r="C140">
        <v>0.5651867512332629</v>
      </c>
      <c r="D140">
        <v>0.66666666666666663</v>
      </c>
      <c r="E140" t="s">
        <v>383</v>
      </c>
      <c r="F140" t="s">
        <v>382</v>
      </c>
      <c r="G140">
        <v>0.55000000000000004</v>
      </c>
      <c r="H140">
        <v>0.25570415597837942</v>
      </c>
    </row>
    <row r="141" spans="1:8" x14ac:dyDescent="0.2">
      <c r="A141" s="5"/>
      <c r="B141" t="s">
        <v>10</v>
      </c>
      <c r="C141">
        <v>0.54144620811287492</v>
      </c>
      <c r="D141">
        <v>0.62962962962962965</v>
      </c>
      <c r="E141" t="s">
        <v>381</v>
      </c>
      <c r="F141" t="s">
        <v>380</v>
      </c>
      <c r="G141">
        <v>0.44117647058823528</v>
      </c>
      <c r="H141">
        <v>7.5925660236529663E-2</v>
      </c>
    </row>
    <row r="142" spans="1:8" x14ac:dyDescent="0.2">
      <c r="A142" s="5"/>
      <c r="B142" t="s">
        <v>11</v>
      </c>
      <c r="C142">
        <v>0.41794735912382969</v>
      </c>
      <c r="D142">
        <v>0.44444444444444442</v>
      </c>
      <c r="E142" t="s">
        <v>379</v>
      </c>
      <c r="F142" t="s">
        <v>378</v>
      </c>
      <c r="G142">
        <v>0.37352941176470589</v>
      </c>
      <c r="H142">
        <v>-0.27872760112743072</v>
      </c>
    </row>
    <row r="143" spans="1:8" x14ac:dyDescent="0.2">
      <c r="A143" s="5"/>
      <c r="B143" t="s">
        <v>12</v>
      </c>
      <c r="C143">
        <v>0.44444444444444442</v>
      </c>
      <c r="D143">
        <v>0.44444444444444442</v>
      </c>
      <c r="E143" t="s">
        <v>377</v>
      </c>
      <c r="F143" t="s">
        <v>376</v>
      </c>
      <c r="G143">
        <v>0.4705882352941177</v>
      </c>
      <c r="H143">
        <v>-4.7058823529411757E-2</v>
      </c>
    </row>
    <row r="144" spans="1:8" x14ac:dyDescent="0.2">
      <c r="A144" s="5"/>
      <c r="B144" t="s">
        <v>13</v>
      </c>
      <c r="C144">
        <v>0.63315696649029984</v>
      </c>
      <c r="D144">
        <v>0.70370370370370372</v>
      </c>
      <c r="E144" t="s">
        <v>375</v>
      </c>
      <c r="F144" t="s">
        <v>374</v>
      </c>
      <c r="G144">
        <v>0.69411764705882351</v>
      </c>
      <c r="H144">
        <v>0.36878177829171549</v>
      </c>
    </row>
    <row r="145" spans="1:8" x14ac:dyDescent="0.2">
      <c r="A145" s="6"/>
      <c r="B145" t="s">
        <v>14</v>
      </c>
      <c r="C145">
        <v>0.32200435729847499</v>
      </c>
      <c r="D145">
        <v>0.40740740740740738</v>
      </c>
      <c r="E145" t="s">
        <v>373</v>
      </c>
      <c r="F145" t="s">
        <v>372</v>
      </c>
      <c r="G145">
        <v>0.60294117647058831</v>
      </c>
      <c r="H145">
        <v>2.711630722733202E-2</v>
      </c>
    </row>
    <row r="146" spans="1:8" x14ac:dyDescent="0.2">
      <c r="A146" s="4" t="s">
        <v>391</v>
      </c>
      <c r="B146" t="s">
        <v>7</v>
      </c>
      <c r="C146">
        <v>0.55921855921855923</v>
      </c>
      <c r="D146">
        <v>0.55555555555555558</v>
      </c>
      <c r="E146" t="s">
        <v>387</v>
      </c>
      <c r="F146" t="s">
        <v>386</v>
      </c>
      <c r="G146">
        <v>0.4088235294117647</v>
      </c>
      <c r="H146">
        <v>0.16765526764779409</v>
      </c>
    </row>
    <row r="147" spans="1:8" x14ac:dyDescent="0.2">
      <c r="A147" s="5"/>
      <c r="B147" t="s">
        <v>8</v>
      </c>
      <c r="C147">
        <v>0.1693121693121693</v>
      </c>
      <c r="D147">
        <v>0.29629629629629628</v>
      </c>
      <c r="E147" t="s">
        <v>390</v>
      </c>
      <c r="F147" t="s">
        <v>389</v>
      </c>
      <c r="G147">
        <v>0.4</v>
      </c>
      <c r="H147">
        <v>-0.36878177829171549</v>
      </c>
    </row>
    <row r="148" spans="1:8" x14ac:dyDescent="0.2">
      <c r="A148" s="5"/>
      <c r="B148" t="s">
        <v>9</v>
      </c>
      <c r="C148">
        <v>0.5651867512332629</v>
      </c>
      <c r="D148">
        <v>0.66666666666666663</v>
      </c>
      <c r="E148" t="s">
        <v>383</v>
      </c>
      <c r="F148" t="s">
        <v>382</v>
      </c>
      <c r="G148">
        <v>0.55000000000000004</v>
      </c>
      <c r="H148">
        <v>0.25570415597837942</v>
      </c>
    </row>
    <row r="149" spans="1:8" x14ac:dyDescent="0.2">
      <c r="A149" s="5"/>
      <c r="B149" t="s">
        <v>10</v>
      </c>
      <c r="C149">
        <v>0.54144620811287492</v>
      </c>
      <c r="D149">
        <v>0.62962962962962965</v>
      </c>
      <c r="E149" t="s">
        <v>381</v>
      </c>
      <c r="F149" t="s">
        <v>380</v>
      </c>
      <c r="G149">
        <v>0.44117647058823528</v>
      </c>
      <c r="H149">
        <v>7.5925660236529663E-2</v>
      </c>
    </row>
    <row r="150" spans="1:8" x14ac:dyDescent="0.2">
      <c r="A150" s="5"/>
      <c r="B150" t="s">
        <v>11</v>
      </c>
      <c r="C150">
        <v>0.41794735912382969</v>
      </c>
      <c r="D150">
        <v>0.44444444444444442</v>
      </c>
      <c r="E150" t="s">
        <v>379</v>
      </c>
      <c r="F150" t="s">
        <v>378</v>
      </c>
      <c r="G150">
        <v>0.37352941176470589</v>
      </c>
      <c r="H150">
        <v>-0.27872760112743072</v>
      </c>
    </row>
    <row r="151" spans="1:8" x14ac:dyDescent="0.2">
      <c r="A151" s="5"/>
      <c r="B151" t="s">
        <v>12</v>
      </c>
      <c r="C151">
        <v>0.44444444444444442</v>
      </c>
      <c r="D151">
        <v>0.44444444444444442</v>
      </c>
      <c r="E151" t="s">
        <v>377</v>
      </c>
      <c r="F151" t="s">
        <v>376</v>
      </c>
      <c r="G151">
        <v>0.4705882352941177</v>
      </c>
      <c r="H151">
        <v>-4.7058823529411757E-2</v>
      </c>
    </row>
    <row r="152" spans="1:8" x14ac:dyDescent="0.2">
      <c r="A152" s="5"/>
      <c r="B152" t="s">
        <v>13</v>
      </c>
      <c r="C152">
        <v>0.63315696649029984</v>
      </c>
      <c r="D152">
        <v>0.70370370370370372</v>
      </c>
      <c r="E152" t="s">
        <v>375</v>
      </c>
      <c r="F152" t="s">
        <v>374</v>
      </c>
      <c r="G152">
        <v>0.69411764705882351</v>
      </c>
      <c r="H152">
        <v>0.36878177829171549</v>
      </c>
    </row>
    <row r="153" spans="1:8" x14ac:dyDescent="0.2">
      <c r="A153" s="6"/>
      <c r="B153" t="s">
        <v>14</v>
      </c>
      <c r="C153">
        <v>0.32200435729847499</v>
      </c>
      <c r="D153">
        <v>0.40740740740740738</v>
      </c>
      <c r="E153" t="s">
        <v>373</v>
      </c>
      <c r="F153" t="s">
        <v>372</v>
      </c>
      <c r="G153">
        <v>0.60294117647058831</v>
      </c>
      <c r="H153">
        <v>2.711630722733202E-2</v>
      </c>
    </row>
    <row r="154" spans="1:8" x14ac:dyDescent="0.2">
      <c r="A154" s="4" t="s">
        <v>388</v>
      </c>
      <c r="B154" t="s">
        <v>7</v>
      </c>
      <c r="C154">
        <v>0.55921855921855923</v>
      </c>
      <c r="D154">
        <v>0.55555555555555558</v>
      </c>
      <c r="E154" t="s">
        <v>387</v>
      </c>
      <c r="F154" t="s">
        <v>386</v>
      </c>
      <c r="G154">
        <v>0.4088235294117647</v>
      </c>
      <c r="H154">
        <v>0.16765526764779409</v>
      </c>
    </row>
    <row r="155" spans="1:8" x14ac:dyDescent="0.2">
      <c r="A155" s="5"/>
      <c r="B155" t="s">
        <v>8</v>
      </c>
      <c r="C155">
        <v>0.21709155042488371</v>
      </c>
      <c r="D155">
        <v>0.29629629629629628</v>
      </c>
      <c r="E155" t="s">
        <v>385</v>
      </c>
      <c r="F155" t="s">
        <v>384</v>
      </c>
      <c r="G155">
        <v>0.37941176470588228</v>
      </c>
      <c r="H155">
        <v>-0.32784267326619071</v>
      </c>
    </row>
    <row r="156" spans="1:8" x14ac:dyDescent="0.2">
      <c r="A156" s="5"/>
      <c r="B156" t="s">
        <v>9</v>
      </c>
      <c r="C156">
        <v>0.5651867512332629</v>
      </c>
      <c r="D156">
        <v>0.66666666666666663</v>
      </c>
      <c r="E156" t="s">
        <v>383</v>
      </c>
      <c r="F156" t="s">
        <v>382</v>
      </c>
      <c r="G156">
        <v>0.55000000000000004</v>
      </c>
      <c r="H156">
        <v>0.25570415597837942</v>
      </c>
    </row>
    <row r="157" spans="1:8" x14ac:dyDescent="0.2">
      <c r="A157" s="5"/>
      <c r="B157" t="s">
        <v>10</v>
      </c>
      <c r="C157">
        <v>0.54144620811287492</v>
      </c>
      <c r="D157">
        <v>0.62962962962962965</v>
      </c>
      <c r="E157" t="s">
        <v>381</v>
      </c>
      <c r="F157" t="s">
        <v>380</v>
      </c>
      <c r="G157">
        <v>0.44117647058823528</v>
      </c>
      <c r="H157">
        <v>7.5925660236529663E-2</v>
      </c>
    </row>
    <row r="158" spans="1:8" x14ac:dyDescent="0.2">
      <c r="A158" s="5"/>
      <c r="B158" t="s">
        <v>11</v>
      </c>
      <c r="C158">
        <v>0.41794735912382969</v>
      </c>
      <c r="D158">
        <v>0.44444444444444442</v>
      </c>
      <c r="E158" t="s">
        <v>379</v>
      </c>
      <c r="F158" t="s">
        <v>378</v>
      </c>
      <c r="G158">
        <v>0.37352941176470589</v>
      </c>
      <c r="H158">
        <v>-0.27872760112743072</v>
      </c>
    </row>
    <row r="159" spans="1:8" x14ac:dyDescent="0.2">
      <c r="A159" s="5"/>
      <c r="B159" t="s">
        <v>12</v>
      </c>
      <c r="C159">
        <v>0.44444444444444442</v>
      </c>
      <c r="D159">
        <v>0.44444444444444442</v>
      </c>
      <c r="E159" t="s">
        <v>377</v>
      </c>
      <c r="F159" t="s">
        <v>376</v>
      </c>
      <c r="G159">
        <v>0.4705882352941177</v>
      </c>
      <c r="H159">
        <v>-4.7058823529411757E-2</v>
      </c>
    </row>
    <row r="160" spans="1:8" x14ac:dyDescent="0.2">
      <c r="A160" s="5"/>
      <c r="B160" t="s">
        <v>13</v>
      </c>
      <c r="C160">
        <v>0.63315696649029984</v>
      </c>
      <c r="D160">
        <v>0.70370370370370372</v>
      </c>
      <c r="E160" t="s">
        <v>375</v>
      </c>
      <c r="F160" t="s">
        <v>374</v>
      </c>
      <c r="G160">
        <v>0.69411764705882351</v>
      </c>
      <c r="H160">
        <v>0.36878177829171549</v>
      </c>
    </row>
    <row r="161" spans="1:8" x14ac:dyDescent="0.2">
      <c r="A161" s="6"/>
      <c r="B161" t="s">
        <v>14</v>
      </c>
      <c r="C161">
        <v>0.32200435729847499</v>
      </c>
      <c r="D161">
        <v>0.40740740740740738</v>
      </c>
      <c r="E161" t="s">
        <v>373</v>
      </c>
      <c r="F161" t="s">
        <v>372</v>
      </c>
      <c r="G161">
        <v>0.60294117647058831</v>
      </c>
      <c r="H161">
        <v>2.711630722733202E-2</v>
      </c>
    </row>
  </sheetData>
  <mergeCells count="20">
    <mergeCell ref="A42:A49"/>
    <mergeCell ref="A50:A57"/>
    <mergeCell ref="A58:A65"/>
    <mergeCell ref="A66:A73"/>
    <mergeCell ref="A2:A9"/>
    <mergeCell ref="A10:A17"/>
    <mergeCell ref="A18:A25"/>
    <mergeCell ref="A26:A33"/>
    <mergeCell ref="A34:A41"/>
    <mergeCell ref="A74:A81"/>
    <mergeCell ref="A82:A89"/>
    <mergeCell ref="A146:A153"/>
    <mergeCell ref="A154:A161"/>
    <mergeCell ref="A98:A105"/>
    <mergeCell ref="A106:A113"/>
    <mergeCell ref="A114:A121"/>
    <mergeCell ref="A122:A129"/>
    <mergeCell ref="A130:A137"/>
    <mergeCell ref="A138:A145"/>
    <mergeCell ref="A90:A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358B-1C0B-894C-95CD-AA0775484F56}">
  <dimension ref="A1:H161"/>
  <sheetViews>
    <sheetView tabSelected="1" topLeftCell="A80" workbookViewId="0">
      <selection activeCell="B106" sqref="A106:XFD106"/>
    </sheetView>
  </sheetViews>
  <sheetFormatPr baseColWidth="10" defaultColWidth="8.83203125" defaultRowHeight="15" x14ac:dyDescent="0.2"/>
  <cols>
    <col min="1" max="1" width="14.5" customWidth="1"/>
    <col min="2" max="2" width="22.83203125" customWidth="1"/>
    <col min="3" max="3" width="24.5" customWidth="1"/>
    <col min="4" max="4" width="13.5" customWidth="1"/>
    <col min="5" max="5" width="24.5" customWidth="1"/>
    <col min="6" max="6" width="15.1640625" customWidth="1"/>
    <col min="7" max="7" width="16.1640625" customWidth="1"/>
    <col min="8" max="8" width="16" customWidth="1"/>
  </cols>
  <sheetData>
    <row r="1" spans="1:8" x14ac:dyDescent="0.2">
      <c r="A1" s="3" t="s">
        <v>528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4" t="s">
        <v>527</v>
      </c>
      <c r="B2" t="s">
        <v>7</v>
      </c>
      <c r="C2">
        <v>0.31796310846709319</v>
      </c>
      <c r="D2">
        <v>0.46666666666666667</v>
      </c>
      <c r="E2" t="s">
        <v>641</v>
      </c>
      <c r="F2" t="s">
        <v>640</v>
      </c>
      <c r="G2">
        <v>0.46382629322142138</v>
      </c>
      <c r="H2">
        <v>1.939216666713648E-2</v>
      </c>
    </row>
    <row r="3" spans="1:8" x14ac:dyDescent="0.2">
      <c r="A3" s="5"/>
      <c r="B3" t="s">
        <v>8</v>
      </c>
      <c r="C3">
        <v>0.2749800923713967</v>
      </c>
      <c r="D3">
        <v>0.4238095238095238</v>
      </c>
      <c r="E3" t="s">
        <v>639</v>
      </c>
      <c r="F3" t="s">
        <v>638</v>
      </c>
      <c r="G3">
        <v>0.45876288659793812</v>
      </c>
      <c r="H3">
        <v>-0.21479425602219579</v>
      </c>
    </row>
    <row r="4" spans="1:8" x14ac:dyDescent="0.2">
      <c r="A4" s="5"/>
      <c r="B4" t="s">
        <v>9</v>
      </c>
      <c r="C4">
        <v>0.57694363459669573</v>
      </c>
      <c r="D4">
        <v>0.580952380952381</v>
      </c>
      <c r="E4" t="s">
        <v>637</v>
      </c>
      <c r="F4" t="s">
        <v>636</v>
      </c>
      <c r="G4">
        <v>0.58945351701487092</v>
      </c>
      <c r="H4">
        <v>0.1824364438411169</v>
      </c>
    </row>
    <row r="5" spans="1:8" x14ac:dyDescent="0.2">
      <c r="A5" s="5"/>
      <c r="B5" t="s">
        <v>10</v>
      </c>
      <c r="C5">
        <v>0.53825315425315423</v>
      </c>
      <c r="D5">
        <v>0.53809523809523807</v>
      </c>
      <c r="E5" t="s">
        <v>635</v>
      </c>
      <c r="F5" t="s">
        <v>634</v>
      </c>
      <c r="G5">
        <v>0.59711705136392657</v>
      </c>
      <c r="H5">
        <v>7.1477429300237816E-2</v>
      </c>
    </row>
    <row r="6" spans="1:8" x14ac:dyDescent="0.2">
      <c r="A6" s="5"/>
      <c r="B6" t="s">
        <v>11</v>
      </c>
      <c r="C6">
        <v>0.37650007371369598</v>
      </c>
      <c r="D6">
        <v>0.53809523809523807</v>
      </c>
      <c r="E6" t="s">
        <v>633</v>
      </c>
      <c r="F6" t="s">
        <v>632</v>
      </c>
      <c r="G6">
        <v>0.5</v>
      </c>
      <c r="H6">
        <v>0</v>
      </c>
    </row>
    <row r="7" spans="1:8" x14ac:dyDescent="0.2">
      <c r="A7" s="5"/>
      <c r="B7" t="s">
        <v>12</v>
      </c>
      <c r="C7">
        <v>0.5428245828245829</v>
      </c>
      <c r="D7">
        <v>0.54761904761904767</v>
      </c>
      <c r="E7" t="s">
        <v>631</v>
      </c>
      <c r="F7" t="s">
        <v>630</v>
      </c>
      <c r="G7">
        <v>0.58261107563178538</v>
      </c>
      <c r="H7">
        <v>0.1150477580156077</v>
      </c>
    </row>
    <row r="8" spans="1:8" x14ac:dyDescent="0.2">
      <c r="A8" s="5"/>
      <c r="B8" t="s">
        <v>13</v>
      </c>
      <c r="C8">
        <v>0.55656573244538221</v>
      </c>
      <c r="D8">
        <v>0.55714285714285716</v>
      </c>
      <c r="E8" t="s">
        <v>629</v>
      </c>
      <c r="F8" t="s">
        <v>628</v>
      </c>
      <c r="G8">
        <v>0.61335644557978286</v>
      </c>
      <c r="H8">
        <v>0.10720365721035929</v>
      </c>
    </row>
    <row r="9" spans="1:8" x14ac:dyDescent="0.2">
      <c r="A9" s="6"/>
      <c r="B9" t="s">
        <v>14</v>
      </c>
      <c r="C9">
        <v>0.43847423436640381</v>
      </c>
      <c r="D9">
        <v>0.5</v>
      </c>
      <c r="E9" t="s">
        <v>627</v>
      </c>
      <c r="F9" t="s">
        <v>626</v>
      </c>
      <c r="G9">
        <v>0.4748198157102454</v>
      </c>
      <c r="H9">
        <v>-6.6617466826027691E-2</v>
      </c>
    </row>
    <row r="10" spans="1:8" x14ac:dyDescent="0.2">
      <c r="A10" s="4" t="s">
        <v>510</v>
      </c>
      <c r="B10" t="s">
        <v>7</v>
      </c>
      <c r="C10">
        <v>0.77954844503853471</v>
      </c>
      <c r="D10">
        <v>0.80769230769230771</v>
      </c>
      <c r="E10" t="s">
        <v>625</v>
      </c>
      <c r="F10" t="s">
        <v>624</v>
      </c>
      <c r="G10">
        <v>0.76034482758620692</v>
      </c>
      <c r="H10">
        <v>0.43122734316049038</v>
      </c>
    </row>
    <row r="11" spans="1:8" x14ac:dyDescent="0.2">
      <c r="A11" s="5"/>
      <c r="B11" t="s">
        <v>8</v>
      </c>
      <c r="C11">
        <v>0.63423831070889891</v>
      </c>
      <c r="D11">
        <v>0.74358974358974361</v>
      </c>
      <c r="E11" t="s">
        <v>621</v>
      </c>
      <c r="F11" t="s">
        <v>620</v>
      </c>
      <c r="G11">
        <v>0.5</v>
      </c>
      <c r="H11">
        <v>0</v>
      </c>
    </row>
    <row r="12" spans="1:8" x14ac:dyDescent="0.2">
      <c r="A12" s="5"/>
      <c r="B12" t="s">
        <v>9</v>
      </c>
      <c r="C12">
        <v>0.62763388396797459</v>
      </c>
      <c r="D12">
        <v>0.60256410256410253</v>
      </c>
      <c r="E12" t="s">
        <v>505</v>
      </c>
      <c r="F12" t="s">
        <v>504</v>
      </c>
      <c r="G12">
        <v>0.63448275862068959</v>
      </c>
      <c r="H12">
        <v>0.23488808780588141</v>
      </c>
    </row>
    <row r="13" spans="1:8" x14ac:dyDescent="0.2">
      <c r="A13" s="5"/>
      <c r="B13" t="s">
        <v>10</v>
      </c>
      <c r="C13">
        <v>0.47098892668512921</v>
      </c>
      <c r="D13">
        <v>0.47435897435897428</v>
      </c>
      <c r="E13" t="s">
        <v>623</v>
      </c>
      <c r="F13" t="s">
        <v>622</v>
      </c>
      <c r="G13">
        <v>0.74741379310344824</v>
      </c>
      <c r="H13">
        <v>0.26483485492757353</v>
      </c>
    </row>
    <row r="14" spans="1:8" x14ac:dyDescent="0.2">
      <c r="A14" s="5"/>
      <c r="B14" t="s">
        <v>11</v>
      </c>
      <c r="C14">
        <v>0.63423831070889891</v>
      </c>
      <c r="D14">
        <v>0.74358974358974361</v>
      </c>
      <c r="E14" t="s">
        <v>621</v>
      </c>
      <c r="F14" t="s">
        <v>620</v>
      </c>
      <c r="G14">
        <v>0.5</v>
      </c>
      <c r="H14">
        <v>0</v>
      </c>
    </row>
    <row r="15" spans="1:8" x14ac:dyDescent="0.2">
      <c r="A15" s="5"/>
      <c r="B15" t="s">
        <v>12</v>
      </c>
      <c r="C15">
        <v>0.78142235123367187</v>
      </c>
      <c r="D15">
        <v>0.76923076923076927</v>
      </c>
      <c r="E15" t="s">
        <v>619</v>
      </c>
      <c r="F15" t="s">
        <v>618</v>
      </c>
      <c r="G15">
        <v>0.79051724137931034</v>
      </c>
      <c r="H15">
        <v>0.50137741307804007</v>
      </c>
    </row>
    <row r="16" spans="1:8" x14ac:dyDescent="0.2">
      <c r="A16" s="5"/>
      <c r="B16" t="s">
        <v>13</v>
      </c>
      <c r="C16">
        <v>0.39392863783107679</v>
      </c>
      <c r="D16">
        <v>0.41025641025641019</v>
      </c>
      <c r="E16" t="s">
        <v>617</v>
      </c>
      <c r="F16" t="s">
        <v>616</v>
      </c>
      <c r="G16">
        <v>0.68103448275862066</v>
      </c>
      <c r="H16">
        <v>0.15288293703366651</v>
      </c>
    </row>
    <row r="17" spans="1:8" x14ac:dyDescent="0.2">
      <c r="A17" s="6"/>
      <c r="B17" t="s">
        <v>14</v>
      </c>
      <c r="C17">
        <v>0.62770757507599606</v>
      </c>
      <c r="D17">
        <v>0.60256410256410253</v>
      </c>
      <c r="E17" t="s">
        <v>615</v>
      </c>
      <c r="F17" t="s">
        <v>614</v>
      </c>
      <c r="G17">
        <v>0.62672413793103443</v>
      </c>
      <c r="H17">
        <v>0.20655170193831371</v>
      </c>
    </row>
    <row r="18" spans="1:8" x14ac:dyDescent="0.2">
      <c r="A18" s="4" t="s">
        <v>493</v>
      </c>
      <c r="B18" t="s">
        <v>7</v>
      </c>
      <c r="C18">
        <v>0.74747474747474751</v>
      </c>
      <c r="D18">
        <v>0.76666666666666672</v>
      </c>
      <c r="E18" t="s">
        <v>613</v>
      </c>
      <c r="F18" t="s">
        <v>612</v>
      </c>
      <c r="G18">
        <v>0.62321428571428572</v>
      </c>
      <c r="H18">
        <v>0.23652495839563309</v>
      </c>
    </row>
    <row r="19" spans="1:8" x14ac:dyDescent="0.2">
      <c r="A19" s="5"/>
      <c r="B19" t="s">
        <v>8</v>
      </c>
      <c r="C19">
        <v>0.73893065998329155</v>
      </c>
      <c r="D19">
        <v>0.77777777777777779</v>
      </c>
      <c r="E19" t="s">
        <v>611</v>
      </c>
      <c r="F19" t="s">
        <v>610</v>
      </c>
      <c r="G19">
        <v>0.5714285714285714</v>
      </c>
      <c r="H19">
        <v>0.2086959677824205</v>
      </c>
    </row>
    <row r="20" spans="1:8" x14ac:dyDescent="0.2">
      <c r="A20" s="5"/>
      <c r="B20" t="s">
        <v>9</v>
      </c>
      <c r="C20">
        <v>0.49185185185185182</v>
      </c>
      <c r="D20">
        <v>0.45555555555555549</v>
      </c>
      <c r="E20" t="s">
        <v>609</v>
      </c>
      <c r="F20" t="s">
        <v>608</v>
      </c>
      <c r="G20">
        <v>0.52499999999999991</v>
      </c>
      <c r="H20">
        <v>4.2640143271122088E-2</v>
      </c>
    </row>
    <row r="21" spans="1:8" x14ac:dyDescent="0.2">
      <c r="A21" s="5"/>
      <c r="B21" t="s">
        <v>10</v>
      </c>
      <c r="C21">
        <v>0.28888888888888892</v>
      </c>
      <c r="D21">
        <v>0.28888888888888892</v>
      </c>
      <c r="E21" t="s">
        <v>607</v>
      </c>
      <c r="F21" t="s">
        <v>606</v>
      </c>
      <c r="G21">
        <v>0.44928571428571429</v>
      </c>
      <c r="H21">
        <v>-0.16428571428571431</v>
      </c>
    </row>
    <row r="22" spans="1:8" x14ac:dyDescent="0.2">
      <c r="A22" s="5"/>
      <c r="B22" t="s">
        <v>11</v>
      </c>
      <c r="C22">
        <v>0.68055555555555558</v>
      </c>
      <c r="D22">
        <v>0.77777777777777779</v>
      </c>
      <c r="E22" t="s">
        <v>605</v>
      </c>
      <c r="F22" t="s">
        <v>604</v>
      </c>
      <c r="G22">
        <v>0.5</v>
      </c>
      <c r="H22">
        <v>0</v>
      </c>
    </row>
    <row r="23" spans="1:8" x14ac:dyDescent="0.2">
      <c r="A23" s="5"/>
      <c r="B23" t="s">
        <v>12</v>
      </c>
      <c r="C23">
        <v>0.62740384615384615</v>
      </c>
      <c r="D23">
        <v>0.6</v>
      </c>
      <c r="E23" t="s">
        <v>603</v>
      </c>
      <c r="F23" t="s">
        <v>602</v>
      </c>
      <c r="G23">
        <v>0.42642857142857138</v>
      </c>
      <c r="H23">
        <v>4.9629166698546508E-2</v>
      </c>
    </row>
    <row r="24" spans="1:8" x14ac:dyDescent="0.2">
      <c r="A24" s="5"/>
      <c r="B24" t="s">
        <v>13</v>
      </c>
      <c r="C24">
        <v>0.28338784692032731</v>
      </c>
      <c r="D24">
        <v>0.25555555555555548</v>
      </c>
      <c r="E24" t="s">
        <v>601</v>
      </c>
      <c r="F24" t="s">
        <v>600</v>
      </c>
      <c r="G24">
        <v>0.44285714285714278</v>
      </c>
      <c r="H24">
        <v>-0.3499271061118826</v>
      </c>
    </row>
    <row r="25" spans="1:8" x14ac:dyDescent="0.2">
      <c r="A25" s="6"/>
      <c r="B25" t="s">
        <v>14</v>
      </c>
      <c r="C25">
        <v>0.68185858585858583</v>
      </c>
      <c r="D25">
        <v>0.65555555555555556</v>
      </c>
      <c r="E25" t="s">
        <v>599</v>
      </c>
      <c r="F25" t="s">
        <v>598</v>
      </c>
      <c r="G25">
        <v>0.77428571428571424</v>
      </c>
      <c r="H25">
        <v>0.2314750634718056</v>
      </c>
    </row>
    <row r="26" spans="1:8" x14ac:dyDescent="0.2">
      <c r="A26" s="4" t="s">
        <v>476</v>
      </c>
      <c r="B26" t="s">
        <v>7</v>
      </c>
      <c r="C26">
        <v>0.65003563791874552</v>
      </c>
      <c r="D26">
        <v>0.67213114754098358</v>
      </c>
      <c r="E26" t="s">
        <v>597</v>
      </c>
      <c r="F26" t="s">
        <v>596</v>
      </c>
      <c r="G26">
        <v>0.41214470284237731</v>
      </c>
      <c r="H26">
        <v>0.13192614230108909</v>
      </c>
    </row>
    <row r="27" spans="1:8" x14ac:dyDescent="0.2">
      <c r="A27" s="5"/>
      <c r="B27" t="s">
        <v>8</v>
      </c>
      <c r="C27">
        <v>0.58291298865069352</v>
      </c>
      <c r="D27">
        <v>0.70491803278688525</v>
      </c>
      <c r="E27" t="s">
        <v>591</v>
      </c>
      <c r="F27" t="s">
        <v>590</v>
      </c>
      <c r="G27">
        <v>0.5</v>
      </c>
      <c r="H27">
        <v>0</v>
      </c>
    </row>
    <row r="28" spans="1:8" x14ac:dyDescent="0.2">
      <c r="A28" s="5"/>
      <c r="B28" t="s">
        <v>9</v>
      </c>
      <c r="C28">
        <v>0.40094911725920329</v>
      </c>
      <c r="D28">
        <v>0.39344262295081972</v>
      </c>
      <c r="E28" t="s">
        <v>595</v>
      </c>
      <c r="F28" t="s">
        <v>594</v>
      </c>
      <c r="G28">
        <v>0.45671834625322999</v>
      </c>
      <c r="H28">
        <v>-8.4100271178379996E-2</v>
      </c>
    </row>
    <row r="29" spans="1:8" x14ac:dyDescent="0.2">
      <c r="A29" s="5"/>
      <c r="B29" t="s">
        <v>10</v>
      </c>
      <c r="C29">
        <v>0.43008678881388618</v>
      </c>
      <c r="D29">
        <v>0.4098360655737705</v>
      </c>
      <c r="E29" t="s">
        <v>593</v>
      </c>
      <c r="F29" t="s">
        <v>592</v>
      </c>
      <c r="G29">
        <v>0.40439276485788112</v>
      </c>
      <c r="H29">
        <v>-0.1186160505237823</v>
      </c>
    </row>
    <row r="30" spans="1:8" x14ac:dyDescent="0.2">
      <c r="A30" s="5"/>
      <c r="B30" t="s">
        <v>11</v>
      </c>
      <c r="C30">
        <v>0.58291298865069352</v>
      </c>
      <c r="D30">
        <v>0.70491803278688525</v>
      </c>
      <c r="E30" t="s">
        <v>591</v>
      </c>
      <c r="F30" t="s">
        <v>590</v>
      </c>
      <c r="G30">
        <v>0.5</v>
      </c>
      <c r="H30">
        <v>0</v>
      </c>
    </row>
    <row r="31" spans="1:8" x14ac:dyDescent="0.2">
      <c r="A31" s="5"/>
      <c r="B31" t="s">
        <v>12</v>
      </c>
      <c r="C31">
        <v>0.58468612554978017</v>
      </c>
      <c r="D31">
        <v>0.57377049180327866</v>
      </c>
      <c r="E31" t="s">
        <v>589</v>
      </c>
      <c r="F31" t="s">
        <v>588</v>
      </c>
      <c r="G31">
        <v>0.39664082687338509</v>
      </c>
      <c r="H31">
        <v>3.8040618506945727E-2</v>
      </c>
    </row>
    <row r="32" spans="1:8" x14ac:dyDescent="0.2">
      <c r="A32" s="5"/>
      <c r="B32" t="s">
        <v>13</v>
      </c>
      <c r="C32">
        <v>0.51400534821532373</v>
      </c>
      <c r="D32">
        <v>0.49180327868852458</v>
      </c>
      <c r="E32" t="s">
        <v>587</v>
      </c>
      <c r="F32" t="s">
        <v>586</v>
      </c>
      <c r="G32">
        <v>0.44573643410852709</v>
      </c>
      <c r="H32">
        <v>-4.0117554251692431E-2</v>
      </c>
    </row>
    <row r="33" spans="1:8" x14ac:dyDescent="0.2">
      <c r="A33" s="6"/>
      <c r="B33" t="s">
        <v>14</v>
      </c>
      <c r="C33">
        <v>0.41599985655177357</v>
      </c>
      <c r="D33">
        <v>0.39344262295081972</v>
      </c>
      <c r="E33" t="s">
        <v>585</v>
      </c>
      <c r="F33" t="s">
        <v>584</v>
      </c>
      <c r="G33">
        <v>0.40956072351421191</v>
      </c>
      <c r="H33">
        <v>-0.16919875686864169</v>
      </c>
    </row>
    <row r="34" spans="1:8" x14ac:dyDescent="0.2">
      <c r="A34" s="4" t="s">
        <v>461</v>
      </c>
      <c r="B34" t="s">
        <v>7</v>
      </c>
      <c r="C34">
        <v>0.30386583573998072</v>
      </c>
      <c r="D34">
        <v>0.45555555555555549</v>
      </c>
      <c r="E34" t="s">
        <v>583</v>
      </c>
      <c r="F34" t="s">
        <v>582</v>
      </c>
      <c r="G34">
        <v>0.44026879044300637</v>
      </c>
      <c r="H34">
        <v>-1.3453760267086031E-2</v>
      </c>
    </row>
    <row r="35" spans="1:8" x14ac:dyDescent="0.2">
      <c r="A35" s="5"/>
      <c r="B35" t="s">
        <v>8</v>
      </c>
      <c r="C35">
        <v>0.37507768134576241</v>
      </c>
      <c r="D35">
        <v>0.45555555555555549</v>
      </c>
      <c r="E35" t="s">
        <v>581</v>
      </c>
      <c r="F35" t="s">
        <v>580</v>
      </c>
      <c r="G35">
        <v>0.48805375808860119</v>
      </c>
      <c r="H35">
        <v>-3.5003650961810788E-2</v>
      </c>
    </row>
    <row r="36" spans="1:8" x14ac:dyDescent="0.2">
      <c r="A36" s="5"/>
      <c r="B36" t="s">
        <v>9</v>
      </c>
      <c r="C36">
        <v>0.48356481481481478</v>
      </c>
      <c r="D36">
        <v>0.48888888888888887</v>
      </c>
      <c r="E36" t="s">
        <v>579</v>
      </c>
      <c r="F36" t="s">
        <v>578</v>
      </c>
      <c r="G36">
        <v>0.51742160278745641</v>
      </c>
      <c r="H36">
        <v>-2.5425217046708259E-3</v>
      </c>
    </row>
    <row r="37" spans="1:8" x14ac:dyDescent="0.2">
      <c r="A37" s="5"/>
      <c r="B37" t="s">
        <v>10</v>
      </c>
      <c r="C37">
        <v>0.32660256410256411</v>
      </c>
      <c r="D37">
        <v>0.46666666666666667</v>
      </c>
      <c r="E37" t="s">
        <v>577</v>
      </c>
      <c r="F37" t="s">
        <v>576</v>
      </c>
      <c r="G37">
        <v>0.46092583374813328</v>
      </c>
      <c r="H37">
        <v>4.5572590687308269E-2</v>
      </c>
    </row>
    <row r="38" spans="1:8" x14ac:dyDescent="0.2">
      <c r="A38" s="5"/>
      <c r="B38" t="s">
        <v>11</v>
      </c>
      <c r="C38">
        <v>0.28515691263782872</v>
      </c>
      <c r="D38">
        <v>0.45555555555555549</v>
      </c>
      <c r="E38" t="s">
        <v>448</v>
      </c>
      <c r="F38" t="s">
        <v>447</v>
      </c>
      <c r="G38">
        <v>0.5</v>
      </c>
      <c r="H38">
        <v>0</v>
      </c>
    </row>
    <row r="39" spans="1:8" x14ac:dyDescent="0.2">
      <c r="A39" s="5"/>
      <c r="B39" t="s">
        <v>12</v>
      </c>
      <c r="C39">
        <v>0.30912820512820521</v>
      </c>
      <c r="D39">
        <v>0.46666666666666667</v>
      </c>
      <c r="E39" t="s">
        <v>460</v>
      </c>
      <c r="F39" t="s">
        <v>459</v>
      </c>
      <c r="G39">
        <v>0.49776007964161267</v>
      </c>
      <c r="H39">
        <v>9.6961401672802275E-2</v>
      </c>
    </row>
    <row r="40" spans="1:8" x14ac:dyDescent="0.2">
      <c r="A40" s="5"/>
      <c r="B40" t="s">
        <v>13</v>
      </c>
      <c r="C40">
        <v>0.30912820512820521</v>
      </c>
      <c r="D40">
        <v>0.46666666666666667</v>
      </c>
      <c r="E40" t="s">
        <v>460</v>
      </c>
      <c r="F40" t="s">
        <v>459</v>
      </c>
      <c r="G40">
        <v>0.51767048282727723</v>
      </c>
      <c r="H40">
        <v>9.6961401672802275E-2</v>
      </c>
    </row>
    <row r="41" spans="1:8" x14ac:dyDescent="0.2">
      <c r="A41" s="6"/>
      <c r="B41" t="s">
        <v>14</v>
      </c>
      <c r="C41">
        <v>0.51884057971014486</v>
      </c>
      <c r="D41">
        <v>0.56666666666666665</v>
      </c>
      <c r="E41" t="s">
        <v>575</v>
      </c>
      <c r="F41" t="s">
        <v>574</v>
      </c>
      <c r="G41">
        <v>0.59606769537083126</v>
      </c>
      <c r="H41">
        <v>0.25027731380606832</v>
      </c>
    </row>
    <row r="42" spans="1:8" x14ac:dyDescent="0.2">
      <c r="A42" s="4" t="s">
        <v>444</v>
      </c>
      <c r="B42" t="s">
        <v>7</v>
      </c>
      <c r="C42">
        <v>0.1538461538461538</v>
      </c>
      <c r="D42">
        <v>0.3</v>
      </c>
      <c r="E42" t="s">
        <v>573</v>
      </c>
      <c r="F42" t="s">
        <v>572</v>
      </c>
      <c r="G42">
        <v>0.39250000000000002</v>
      </c>
      <c r="H42">
        <v>-0.26261286571944509</v>
      </c>
    </row>
    <row r="43" spans="1:8" x14ac:dyDescent="0.2">
      <c r="A43" s="5"/>
      <c r="B43" t="s">
        <v>8</v>
      </c>
      <c r="C43">
        <v>0.27810419114766938</v>
      </c>
      <c r="D43">
        <v>0.36666666666666659</v>
      </c>
      <c r="E43" t="s">
        <v>571</v>
      </c>
      <c r="F43" t="s">
        <v>570</v>
      </c>
      <c r="G43">
        <v>0.5</v>
      </c>
      <c r="H43">
        <v>0</v>
      </c>
    </row>
    <row r="44" spans="1:8" x14ac:dyDescent="0.2">
      <c r="A44" s="5"/>
      <c r="B44" t="s">
        <v>9</v>
      </c>
      <c r="C44">
        <v>0.46666666666666667</v>
      </c>
      <c r="D44">
        <v>0.46666666666666667</v>
      </c>
      <c r="E44" t="s">
        <v>569</v>
      </c>
      <c r="F44" t="s">
        <v>568</v>
      </c>
      <c r="G44">
        <v>0.54249999999999998</v>
      </c>
      <c r="H44">
        <v>0.05</v>
      </c>
    </row>
    <row r="45" spans="1:8" x14ac:dyDescent="0.2">
      <c r="A45" s="5"/>
      <c r="B45" t="s">
        <v>10</v>
      </c>
      <c r="C45">
        <v>0.2344322344322344</v>
      </c>
      <c r="D45">
        <v>0.36666666666666659</v>
      </c>
      <c r="E45" t="s">
        <v>435</v>
      </c>
      <c r="F45" t="s">
        <v>434</v>
      </c>
      <c r="G45">
        <v>0.56499999999999995</v>
      </c>
      <c r="H45">
        <v>0.13130643285972249</v>
      </c>
    </row>
    <row r="46" spans="1:8" x14ac:dyDescent="0.2">
      <c r="A46" s="5"/>
      <c r="B46" t="s">
        <v>11</v>
      </c>
      <c r="C46">
        <v>0.16666666666666671</v>
      </c>
      <c r="D46">
        <v>0.33333333333333331</v>
      </c>
      <c r="E46" t="s">
        <v>433</v>
      </c>
      <c r="F46" t="s">
        <v>432</v>
      </c>
      <c r="G46">
        <v>0.5</v>
      </c>
      <c r="H46">
        <v>0</v>
      </c>
    </row>
    <row r="47" spans="1:8" x14ac:dyDescent="0.2">
      <c r="A47" s="5"/>
      <c r="B47" t="s">
        <v>12</v>
      </c>
      <c r="C47">
        <v>0.16666666666666671</v>
      </c>
      <c r="D47">
        <v>0.33333333333333331</v>
      </c>
      <c r="E47" t="s">
        <v>433</v>
      </c>
      <c r="F47" t="s">
        <v>432</v>
      </c>
      <c r="G47">
        <v>0.63</v>
      </c>
      <c r="H47">
        <v>0</v>
      </c>
    </row>
    <row r="48" spans="1:8" x14ac:dyDescent="0.2">
      <c r="A48" s="5"/>
      <c r="B48" t="s">
        <v>13</v>
      </c>
      <c r="C48">
        <v>0.16666666666666671</v>
      </c>
      <c r="D48">
        <v>0.33333333333333331</v>
      </c>
      <c r="E48" t="s">
        <v>433</v>
      </c>
      <c r="F48" t="s">
        <v>432</v>
      </c>
      <c r="G48">
        <v>0.62</v>
      </c>
      <c r="H48">
        <v>0</v>
      </c>
    </row>
    <row r="49" spans="1:8" x14ac:dyDescent="0.2">
      <c r="A49" s="6"/>
      <c r="B49" t="s">
        <v>14</v>
      </c>
      <c r="C49">
        <v>0.45714285714285718</v>
      </c>
      <c r="D49">
        <v>0.5</v>
      </c>
      <c r="E49" t="s">
        <v>567</v>
      </c>
      <c r="F49" t="s">
        <v>566</v>
      </c>
      <c r="G49">
        <v>0.625</v>
      </c>
      <c r="H49">
        <v>0.31622776601683789</v>
      </c>
    </row>
    <row r="50" spans="1:8" x14ac:dyDescent="0.2">
      <c r="A50" s="4" t="s">
        <v>443</v>
      </c>
      <c r="B50" t="s">
        <v>7</v>
      </c>
      <c r="C50">
        <v>0.1538461538461538</v>
      </c>
      <c r="D50">
        <v>0.3</v>
      </c>
      <c r="E50" t="s">
        <v>573</v>
      </c>
      <c r="F50" t="s">
        <v>572</v>
      </c>
      <c r="G50">
        <v>0.39250000000000002</v>
      </c>
      <c r="H50">
        <v>-0.26261286571944509</v>
      </c>
    </row>
    <row r="51" spans="1:8" x14ac:dyDescent="0.2">
      <c r="A51" s="5"/>
      <c r="B51" t="s">
        <v>8</v>
      </c>
      <c r="C51">
        <v>0.1538461538461538</v>
      </c>
      <c r="D51">
        <v>0.3</v>
      </c>
      <c r="E51" t="s">
        <v>573</v>
      </c>
      <c r="F51" t="s">
        <v>572</v>
      </c>
      <c r="G51">
        <v>0.45</v>
      </c>
      <c r="H51">
        <v>-0.26261286571944509</v>
      </c>
    </row>
    <row r="52" spans="1:8" x14ac:dyDescent="0.2">
      <c r="A52" s="5"/>
      <c r="B52" t="s">
        <v>9</v>
      </c>
      <c r="C52">
        <v>0.46666666666666667</v>
      </c>
      <c r="D52">
        <v>0.46666666666666667</v>
      </c>
      <c r="E52" t="s">
        <v>569</v>
      </c>
      <c r="F52" t="s">
        <v>568</v>
      </c>
      <c r="G52">
        <v>0.54249999999999998</v>
      </c>
      <c r="H52">
        <v>0.05</v>
      </c>
    </row>
    <row r="53" spans="1:8" x14ac:dyDescent="0.2">
      <c r="A53" s="5"/>
      <c r="B53" t="s">
        <v>10</v>
      </c>
      <c r="C53">
        <v>0.2344322344322344</v>
      </c>
      <c r="D53">
        <v>0.36666666666666659</v>
      </c>
      <c r="E53" t="s">
        <v>435</v>
      </c>
      <c r="F53" t="s">
        <v>434</v>
      </c>
      <c r="G53">
        <v>0.56499999999999995</v>
      </c>
      <c r="H53">
        <v>0.13130643285972249</v>
      </c>
    </row>
    <row r="54" spans="1:8" x14ac:dyDescent="0.2">
      <c r="A54" s="5"/>
      <c r="B54" t="s">
        <v>11</v>
      </c>
      <c r="C54">
        <v>0.16666666666666671</v>
      </c>
      <c r="D54">
        <v>0.33333333333333331</v>
      </c>
      <c r="E54" t="s">
        <v>433</v>
      </c>
      <c r="F54" t="s">
        <v>432</v>
      </c>
      <c r="G54">
        <v>0.5</v>
      </c>
      <c r="H54">
        <v>0</v>
      </c>
    </row>
    <row r="55" spans="1:8" x14ac:dyDescent="0.2">
      <c r="A55" s="5"/>
      <c r="B55" t="s">
        <v>12</v>
      </c>
      <c r="C55">
        <v>0.16666666666666671</v>
      </c>
      <c r="D55">
        <v>0.33333333333333331</v>
      </c>
      <c r="E55" t="s">
        <v>433</v>
      </c>
      <c r="F55" t="s">
        <v>432</v>
      </c>
      <c r="G55">
        <v>0.63</v>
      </c>
      <c r="H55">
        <v>0</v>
      </c>
    </row>
    <row r="56" spans="1:8" x14ac:dyDescent="0.2">
      <c r="A56" s="5"/>
      <c r="B56" t="s">
        <v>13</v>
      </c>
      <c r="C56">
        <v>0.16666666666666671</v>
      </c>
      <c r="D56">
        <v>0.33333333333333331</v>
      </c>
      <c r="E56" t="s">
        <v>433</v>
      </c>
      <c r="F56" t="s">
        <v>432</v>
      </c>
      <c r="G56">
        <v>0.62</v>
      </c>
      <c r="H56">
        <v>0</v>
      </c>
    </row>
    <row r="57" spans="1:8" x14ac:dyDescent="0.2">
      <c r="A57" s="6"/>
      <c r="B57" t="s">
        <v>14</v>
      </c>
      <c r="C57">
        <v>0.45714285714285718</v>
      </c>
      <c r="D57">
        <v>0.5</v>
      </c>
      <c r="E57" t="s">
        <v>567</v>
      </c>
      <c r="F57" t="s">
        <v>566</v>
      </c>
      <c r="G57">
        <v>0.625</v>
      </c>
      <c r="H57">
        <v>0.31622776601683789</v>
      </c>
    </row>
    <row r="58" spans="1:8" x14ac:dyDescent="0.2">
      <c r="A58" s="4" t="s">
        <v>442</v>
      </c>
      <c r="B58" t="s">
        <v>7</v>
      </c>
      <c r="C58">
        <v>0.1538461538461538</v>
      </c>
      <c r="D58">
        <v>0.3</v>
      </c>
      <c r="E58" t="s">
        <v>573</v>
      </c>
      <c r="F58" t="s">
        <v>572</v>
      </c>
      <c r="G58">
        <v>0.39250000000000002</v>
      </c>
      <c r="H58">
        <v>-0.26261286571944509</v>
      </c>
    </row>
    <row r="59" spans="1:8" x14ac:dyDescent="0.2">
      <c r="A59" s="5"/>
      <c r="B59" t="s">
        <v>8</v>
      </c>
      <c r="C59">
        <v>0.27810419114766938</v>
      </c>
      <c r="D59">
        <v>0.36666666666666659</v>
      </c>
      <c r="E59" t="s">
        <v>571</v>
      </c>
      <c r="F59" t="s">
        <v>570</v>
      </c>
      <c r="G59">
        <v>0.5</v>
      </c>
      <c r="H59">
        <v>0</v>
      </c>
    </row>
    <row r="60" spans="1:8" x14ac:dyDescent="0.2">
      <c r="A60" s="5"/>
      <c r="B60" t="s">
        <v>9</v>
      </c>
      <c r="C60">
        <v>0.46666666666666667</v>
      </c>
      <c r="D60">
        <v>0.46666666666666667</v>
      </c>
      <c r="E60" t="s">
        <v>569</v>
      </c>
      <c r="F60" t="s">
        <v>568</v>
      </c>
      <c r="G60">
        <v>0.54249999999999998</v>
      </c>
      <c r="H60">
        <v>0.05</v>
      </c>
    </row>
    <row r="61" spans="1:8" x14ac:dyDescent="0.2">
      <c r="A61" s="5"/>
      <c r="B61" t="s">
        <v>10</v>
      </c>
      <c r="C61">
        <v>0.2344322344322344</v>
      </c>
      <c r="D61">
        <v>0.36666666666666659</v>
      </c>
      <c r="E61" t="s">
        <v>435</v>
      </c>
      <c r="F61" t="s">
        <v>434</v>
      </c>
      <c r="G61">
        <v>0.56499999999999995</v>
      </c>
      <c r="H61">
        <v>0.13130643285972249</v>
      </c>
    </row>
    <row r="62" spans="1:8" x14ac:dyDescent="0.2">
      <c r="A62" s="5"/>
      <c r="B62" t="s">
        <v>11</v>
      </c>
      <c r="C62">
        <v>0.16666666666666671</v>
      </c>
      <c r="D62">
        <v>0.33333333333333331</v>
      </c>
      <c r="E62" t="s">
        <v>433</v>
      </c>
      <c r="F62" t="s">
        <v>432</v>
      </c>
      <c r="G62">
        <v>0.5</v>
      </c>
      <c r="H62">
        <v>0</v>
      </c>
    </row>
    <row r="63" spans="1:8" x14ac:dyDescent="0.2">
      <c r="A63" s="5"/>
      <c r="B63" t="s">
        <v>12</v>
      </c>
      <c r="C63">
        <v>0.16666666666666671</v>
      </c>
      <c r="D63">
        <v>0.33333333333333331</v>
      </c>
      <c r="E63" t="s">
        <v>433</v>
      </c>
      <c r="F63" t="s">
        <v>432</v>
      </c>
      <c r="G63">
        <v>0.63</v>
      </c>
      <c r="H63">
        <v>0</v>
      </c>
    </row>
    <row r="64" spans="1:8" x14ac:dyDescent="0.2">
      <c r="A64" s="5"/>
      <c r="B64" t="s">
        <v>13</v>
      </c>
      <c r="C64">
        <v>0.16666666666666671</v>
      </c>
      <c r="D64">
        <v>0.33333333333333331</v>
      </c>
      <c r="E64" t="s">
        <v>433</v>
      </c>
      <c r="F64" t="s">
        <v>432</v>
      </c>
      <c r="G64">
        <v>0.62</v>
      </c>
      <c r="H64">
        <v>0</v>
      </c>
    </row>
    <row r="65" spans="1:8" x14ac:dyDescent="0.2">
      <c r="A65" s="6"/>
      <c r="B65" t="s">
        <v>14</v>
      </c>
      <c r="C65">
        <v>0.45714285714285718</v>
      </c>
      <c r="D65">
        <v>0.5</v>
      </c>
      <c r="E65" t="s">
        <v>567</v>
      </c>
      <c r="F65" t="s">
        <v>566</v>
      </c>
      <c r="G65">
        <v>0.625</v>
      </c>
      <c r="H65">
        <v>0.31622776601683789</v>
      </c>
    </row>
    <row r="66" spans="1:8" x14ac:dyDescent="0.2">
      <c r="A66" s="4" t="s">
        <v>429</v>
      </c>
      <c r="B66" t="s">
        <v>7</v>
      </c>
      <c r="C66">
        <v>0.59170653907496018</v>
      </c>
      <c r="D66">
        <v>0.5757575757575758</v>
      </c>
      <c r="E66" t="s">
        <v>565</v>
      </c>
      <c r="F66" t="s">
        <v>564</v>
      </c>
      <c r="G66">
        <v>0.70217391304347831</v>
      </c>
      <c r="H66">
        <v>0.2046559502458076</v>
      </c>
    </row>
    <row r="67" spans="1:8" x14ac:dyDescent="0.2">
      <c r="A67" s="5"/>
      <c r="B67" t="s">
        <v>8</v>
      </c>
      <c r="C67">
        <v>0.14094432699083859</v>
      </c>
      <c r="D67">
        <v>0.30303030303030298</v>
      </c>
      <c r="E67" t="s">
        <v>423</v>
      </c>
      <c r="F67" t="s">
        <v>422</v>
      </c>
      <c r="G67">
        <v>0.5</v>
      </c>
      <c r="H67">
        <v>0</v>
      </c>
    </row>
    <row r="68" spans="1:8" x14ac:dyDescent="0.2">
      <c r="A68" s="5"/>
      <c r="B68" t="s">
        <v>9</v>
      </c>
      <c r="C68">
        <v>0.31235431235431238</v>
      </c>
      <c r="D68">
        <v>0.39393939393939392</v>
      </c>
      <c r="E68" t="s">
        <v>411</v>
      </c>
      <c r="F68" t="s">
        <v>410</v>
      </c>
      <c r="G68">
        <v>0.56521739130434778</v>
      </c>
      <c r="H68">
        <v>0.2085144140570748</v>
      </c>
    </row>
    <row r="69" spans="1:8" x14ac:dyDescent="0.2">
      <c r="A69" s="5"/>
      <c r="B69" t="s">
        <v>10</v>
      </c>
      <c r="C69">
        <v>0.34267486899065852</v>
      </c>
      <c r="D69">
        <v>0.39393939393939392</v>
      </c>
      <c r="E69" t="s">
        <v>559</v>
      </c>
      <c r="F69" t="s">
        <v>558</v>
      </c>
      <c r="G69">
        <v>0.63478260869565228</v>
      </c>
      <c r="H69">
        <v>9.4737296137809984E-2</v>
      </c>
    </row>
    <row r="70" spans="1:8" x14ac:dyDescent="0.2">
      <c r="A70" s="5"/>
      <c r="B70" t="s">
        <v>11</v>
      </c>
      <c r="C70">
        <v>0.57251082251082264</v>
      </c>
      <c r="D70">
        <v>0.69696969696969702</v>
      </c>
      <c r="E70" t="s">
        <v>563</v>
      </c>
      <c r="F70" t="s">
        <v>562</v>
      </c>
      <c r="G70">
        <v>0.5</v>
      </c>
      <c r="H70">
        <v>0</v>
      </c>
    </row>
    <row r="71" spans="1:8" x14ac:dyDescent="0.2">
      <c r="A71" s="5"/>
      <c r="B71" t="s">
        <v>12</v>
      </c>
      <c r="C71">
        <v>0.54208754208754195</v>
      </c>
      <c r="D71">
        <v>0.63636363636363635</v>
      </c>
      <c r="E71" t="s">
        <v>561</v>
      </c>
      <c r="F71" t="s">
        <v>560</v>
      </c>
      <c r="G71">
        <v>0.66086956521739126</v>
      </c>
      <c r="H71">
        <v>-0.16748280772542129</v>
      </c>
    </row>
    <row r="72" spans="1:8" x14ac:dyDescent="0.2">
      <c r="A72" s="5"/>
      <c r="B72" t="s">
        <v>13</v>
      </c>
      <c r="C72">
        <v>0.34267486899065852</v>
      </c>
      <c r="D72">
        <v>0.39393939393939392</v>
      </c>
      <c r="E72" t="s">
        <v>559</v>
      </c>
      <c r="F72" t="s">
        <v>558</v>
      </c>
      <c r="G72">
        <v>0.65652173913043477</v>
      </c>
      <c r="H72">
        <v>9.4737296137809984E-2</v>
      </c>
    </row>
    <row r="73" spans="1:8" x14ac:dyDescent="0.2">
      <c r="A73" s="6"/>
      <c r="B73" t="s">
        <v>14</v>
      </c>
      <c r="C73">
        <v>0.367003367003367</v>
      </c>
      <c r="D73">
        <v>0.39393939393939392</v>
      </c>
      <c r="E73" t="s">
        <v>425</v>
      </c>
      <c r="F73" t="s">
        <v>424</v>
      </c>
      <c r="G73">
        <v>0.55869565217391304</v>
      </c>
      <c r="H73">
        <v>1.9550613012972021E-2</v>
      </c>
    </row>
    <row r="74" spans="1:8" x14ac:dyDescent="0.2">
      <c r="A74" s="4" t="s">
        <v>428</v>
      </c>
      <c r="B74" t="s">
        <v>7</v>
      </c>
      <c r="C74">
        <v>0.59170653907496018</v>
      </c>
      <c r="D74">
        <v>0.5757575757575758</v>
      </c>
      <c r="E74" t="s">
        <v>565</v>
      </c>
      <c r="F74" t="s">
        <v>564</v>
      </c>
      <c r="G74">
        <v>0.70217391304347831</v>
      </c>
      <c r="H74">
        <v>0.2046559502458076</v>
      </c>
    </row>
    <row r="75" spans="1:8" x14ac:dyDescent="0.2">
      <c r="A75" s="5"/>
      <c r="B75" t="s">
        <v>8</v>
      </c>
      <c r="C75">
        <v>0.14094432699083859</v>
      </c>
      <c r="D75">
        <v>0.30303030303030298</v>
      </c>
      <c r="E75" t="s">
        <v>423</v>
      </c>
      <c r="F75" t="s">
        <v>422</v>
      </c>
      <c r="G75">
        <v>0.5</v>
      </c>
      <c r="H75">
        <v>0</v>
      </c>
    </row>
    <row r="76" spans="1:8" x14ac:dyDescent="0.2">
      <c r="A76" s="5"/>
      <c r="B76" t="s">
        <v>9</v>
      </c>
      <c r="C76">
        <v>0.31235431235431238</v>
      </c>
      <c r="D76">
        <v>0.39393939393939392</v>
      </c>
      <c r="E76" t="s">
        <v>411</v>
      </c>
      <c r="F76" t="s">
        <v>410</v>
      </c>
      <c r="G76">
        <v>0.56521739130434778</v>
      </c>
      <c r="H76">
        <v>0.2085144140570748</v>
      </c>
    </row>
    <row r="77" spans="1:8" x14ac:dyDescent="0.2">
      <c r="A77" s="5"/>
      <c r="B77" t="s">
        <v>10</v>
      </c>
      <c r="C77">
        <v>0.34267486899065852</v>
      </c>
      <c r="D77">
        <v>0.39393939393939392</v>
      </c>
      <c r="E77" t="s">
        <v>559</v>
      </c>
      <c r="F77" t="s">
        <v>558</v>
      </c>
      <c r="G77">
        <v>0.63478260869565228</v>
      </c>
      <c r="H77">
        <v>9.4737296137809984E-2</v>
      </c>
    </row>
    <row r="78" spans="1:8" x14ac:dyDescent="0.2">
      <c r="A78" s="5"/>
      <c r="B78" t="s">
        <v>11</v>
      </c>
      <c r="C78">
        <v>0.57251082251082264</v>
      </c>
      <c r="D78">
        <v>0.69696969696969702</v>
      </c>
      <c r="E78" t="s">
        <v>563</v>
      </c>
      <c r="F78" t="s">
        <v>562</v>
      </c>
      <c r="G78">
        <v>0.5</v>
      </c>
      <c r="H78">
        <v>0</v>
      </c>
    </row>
    <row r="79" spans="1:8" x14ac:dyDescent="0.2">
      <c r="A79" s="5"/>
      <c r="B79" t="s">
        <v>12</v>
      </c>
      <c r="C79">
        <v>0.54208754208754195</v>
      </c>
      <c r="D79">
        <v>0.63636363636363635</v>
      </c>
      <c r="E79" t="s">
        <v>561</v>
      </c>
      <c r="F79" t="s">
        <v>560</v>
      </c>
      <c r="G79">
        <v>0.66086956521739126</v>
      </c>
      <c r="H79">
        <v>-0.16748280772542129</v>
      </c>
    </row>
    <row r="80" spans="1:8" x14ac:dyDescent="0.2">
      <c r="A80" s="5"/>
      <c r="B80" t="s">
        <v>13</v>
      </c>
      <c r="C80">
        <v>0.34267486899065852</v>
      </c>
      <c r="D80">
        <v>0.39393939393939392</v>
      </c>
      <c r="E80" t="s">
        <v>559</v>
      </c>
      <c r="F80" t="s">
        <v>558</v>
      </c>
      <c r="G80">
        <v>0.65652173913043477</v>
      </c>
      <c r="H80">
        <v>9.4737296137809984E-2</v>
      </c>
    </row>
    <row r="81" spans="1:8" x14ac:dyDescent="0.2">
      <c r="A81" s="6"/>
      <c r="B81" t="s">
        <v>14</v>
      </c>
      <c r="C81">
        <v>0.367003367003367</v>
      </c>
      <c r="D81">
        <v>0.39393939393939392</v>
      </c>
      <c r="E81" t="s">
        <v>425</v>
      </c>
      <c r="F81" t="s">
        <v>424</v>
      </c>
      <c r="G81">
        <v>0.55869565217391304</v>
      </c>
      <c r="H81">
        <v>1.9550613012972021E-2</v>
      </c>
    </row>
    <row r="82" spans="1:8" x14ac:dyDescent="0.2">
      <c r="A82" s="4" t="s">
        <v>427</v>
      </c>
      <c r="B82" t="s">
        <v>7</v>
      </c>
      <c r="C82">
        <v>0.59170653907496018</v>
      </c>
      <c r="D82">
        <v>0.5757575757575758</v>
      </c>
      <c r="E82" t="s">
        <v>565</v>
      </c>
      <c r="F82" t="s">
        <v>564</v>
      </c>
      <c r="G82">
        <v>0.70217391304347831</v>
      </c>
      <c r="H82">
        <v>0.2046559502458076</v>
      </c>
    </row>
    <row r="83" spans="1:8" x14ac:dyDescent="0.2">
      <c r="A83" s="5"/>
      <c r="B83" t="s">
        <v>8</v>
      </c>
      <c r="C83">
        <v>0.14094432699083859</v>
      </c>
      <c r="D83">
        <v>0.30303030303030298</v>
      </c>
      <c r="E83" t="s">
        <v>423</v>
      </c>
      <c r="F83" t="s">
        <v>422</v>
      </c>
      <c r="G83">
        <v>0.5</v>
      </c>
      <c r="H83">
        <v>0</v>
      </c>
    </row>
    <row r="84" spans="1:8" x14ac:dyDescent="0.2">
      <c r="A84" s="5"/>
      <c r="B84" t="s">
        <v>9</v>
      </c>
      <c r="C84">
        <v>0.31235431235431238</v>
      </c>
      <c r="D84">
        <v>0.39393939393939392</v>
      </c>
      <c r="E84" t="s">
        <v>411</v>
      </c>
      <c r="F84" t="s">
        <v>410</v>
      </c>
      <c r="G84">
        <v>0.56521739130434778</v>
      </c>
      <c r="H84">
        <v>0.2085144140570748</v>
      </c>
    </row>
    <row r="85" spans="1:8" x14ac:dyDescent="0.2">
      <c r="A85" s="5"/>
      <c r="B85" t="s">
        <v>10</v>
      </c>
      <c r="C85">
        <v>0.34267486899065852</v>
      </c>
      <c r="D85">
        <v>0.39393939393939392</v>
      </c>
      <c r="E85" t="s">
        <v>559</v>
      </c>
      <c r="F85" t="s">
        <v>558</v>
      </c>
      <c r="G85">
        <v>0.63478260869565228</v>
      </c>
      <c r="H85">
        <v>9.4737296137809984E-2</v>
      </c>
    </row>
    <row r="86" spans="1:8" x14ac:dyDescent="0.2">
      <c r="A86" s="5"/>
      <c r="B86" t="s">
        <v>11</v>
      </c>
      <c r="C86">
        <v>0.57251082251082264</v>
      </c>
      <c r="D86">
        <v>0.69696969696969702</v>
      </c>
      <c r="E86" t="s">
        <v>563</v>
      </c>
      <c r="F86" t="s">
        <v>562</v>
      </c>
      <c r="G86">
        <v>0.5</v>
      </c>
      <c r="H86">
        <v>0</v>
      </c>
    </row>
    <row r="87" spans="1:8" x14ac:dyDescent="0.2">
      <c r="A87" s="5"/>
      <c r="B87" t="s">
        <v>12</v>
      </c>
      <c r="C87">
        <v>0.54208754208754195</v>
      </c>
      <c r="D87">
        <v>0.63636363636363635</v>
      </c>
      <c r="E87" t="s">
        <v>561</v>
      </c>
      <c r="F87" t="s">
        <v>560</v>
      </c>
      <c r="G87">
        <v>0.66086956521739126</v>
      </c>
      <c r="H87">
        <v>-0.16748280772542129</v>
      </c>
    </row>
    <row r="88" spans="1:8" x14ac:dyDescent="0.2">
      <c r="A88" s="5"/>
      <c r="B88" t="s">
        <v>13</v>
      </c>
      <c r="C88">
        <v>0.34267486899065852</v>
      </c>
      <c r="D88">
        <v>0.39393939393939392</v>
      </c>
      <c r="E88" t="s">
        <v>559</v>
      </c>
      <c r="F88" t="s">
        <v>558</v>
      </c>
      <c r="G88">
        <v>0.65652173913043477</v>
      </c>
      <c r="H88">
        <v>9.4737296137809984E-2</v>
      </c>
    </row>
    <row r="89" spans="1:8" x14ac:dyDescent="0.2">
      <c r="A89" s="6"/>
      <c r="B89" t="s">
        <v>14</v>
      </c>
      <c r="C89">
        <v>0.367003367003367</v>
      </c>
      <c r="D89">
        <v>0.39393939393939392</v>
      </c>
      <c r="E89" t="s">
        <v>425</v>
      </c>
      <c r="F89" t="s">
        <v>424</v>
      </c>
      <c r="G89">
        <v>0.55869565217391304</v>
      </c>
      <c r="H89">
        <v>1.9550613012972021E-2</v>
      </c>
    </row>
    <row r="90" spans="1:8" x14ac:dyDescent="0.2">
      <c r="A90" s="4" t="s">
        <v>426</v>
      </c>
      <c r="B90" t="s">
        <v>7</v>
      </c>
      <c r="C90">
        <v>0.59170653907496018</v>
      </c>
      <c r="D90">
        <v>0.5757575757575758</v>
      </c>
      <c r="E90" t="s">
        <v>565</v>
      </c>
      <c r="F90" t="s">
        <v>564</v>
      </c>
      <c r="G90">
        <v>0.70217391304347831</v>
      </c>
      <c r="H90">
        <v>0.2046559502458076</v>
      </c>
    </row>
    <row r="91" spans="1:8" x14ac:dyDescent="0.2">
      <c r="A91" s="5"/>
      <c r="B91" t="s">
        <v>8</v>
      </c>
      <c r="C91">
        <v>0.14094432699083859</v>
      </c>
      <c r="D91">
        <v>0.30303030303030298</v>
      </c>
      <c r="E91" t="s">
        <v>423</v>
      </c>
      <c r="F91" t="s">
        <v>422</v>
      </c>
      <c r="G91">
        <v>0.5</v>
      </c>
      <c r="H91">
        <v>0</v>
      </c>
    </row>
    <row r="92" spans="1:8" x14ac:dyDescent="0.2">
      <c r="A92" s="5"/>
      <c r="B92" t="s">
        <v>9</v>
      </c>
      <c r="C92">
        <v>0.31235431235431238</v>
      </c>
      <c r="D92">
        <v>0.39393939393939392</v>
      </c>
      <c r="E92" t="s">
        <v>411</v>
      </c>
      <c r="F92" t="s">
        <v>410</v>
      </c>
      <c r="G92">
        <v>0.56521739130434778</v>
      </c>
      <c r="H92">
        <v>0.2085144140570748</v>
      </c>
    </row>
    <row r="93" spans="1:8" x14ac:dyDescent="0.2">
      <c r="A93" s="5"/>
      <c r="B93" t="s">
        <v>10</v>
      </c>
      <c r="C93">
        <v>0.34267486899065852</v>
      </c>
      <c r="D93">
        <v>0.39393939393939392</v>
      </c>
      <c r="E93" t="s">
        <v>559</v>
      </c>
      <c r="F93" t="s">
        <v>558</v>
      </c>
      <c r="G93">
        <v>0.63478260869565228</v>
      </c>
      <c r="H93">
        <v>9.4737296137809984E-2</v>
      </c>
    </row>
    <row r="94" spans="1:8" x14ac:dyDescent="0.2">
      <c r="A94" s="5"/>
      <c r="B94" t="s">
        <v>11</v>
      </c>
      <c r="C94">
        <v>0.57251082251082264</v>
      </c>
      <c r="D94">
        <v>0.69696969696969702</v>
      </c>
      <c r="E94" t="s">
        <v>563</v>
      </c>
      <c r="F94" t="s">
        <v>562</v>
      </c>
      <c r="G94">
        <v>0.5</v>
      </c>
      <c r="H94">
        <v>0</v>
      </c>
    </row>
    <row r="95" spans="1:8" x14ac:dyDescent="0.2">
      <c r="A95" s="5"/>
      <c r="B95" t="s">
        <v>12</v>
      </c>
      <c r="C95">
        <v>0.54208754208754195</v>
      </c>
      <c r="D95">
        <v>0.63636363636363635</v>
      </c>
      <c r="E95" t="s">
        <v>561</v>
      </c>
      <c r="F95" t="s">
        <v>560</v>
      </c>
      <c r="G95">
        <v>0.66086956521739126</v>
      </c>
      <c r="H95">
        <v>-0.16748280772542129</v>
      </c>
    </row>
    <row r="96" spans="1:8" x14ac:dyDescent="0.2">
      <c r="A96" s="5"/>
      <c r="B96" t="s">
        <v>13</v>
      </c>
      <c r="C96">
        <v>0.34267486899065852</v>
      </c>
      <c r="D96">
        <v>0.39393939393939392</v>
      </c>
      <c r="E96" t="s">
        <v>559</v>
      </c>
      <c r="F96" t="s">
        <v>558</v>
      </c>
      <c r="G96">
        <v>0.65652173913043477</v>
      </c>
      <c r="H96">
        <v>9.4737296137809984E-2</v>
      </c>
    </row>
    <row r="97" spans="1:8" x14ac:dyDescent="0.2">
      <c r="A97" s="6"/>
      <c r="B97" t="s">
        <v>14</v>
      </c>
      <c r="C97">
        <v>0.367003367003367</v>
      </c>
      <c r="D97">
        <v>0.39393939393939392</v>
      </c>
      <c r="E97" t="s">
        <v>425</v>
      </c>
      <c r="F97" t="s">
        <v>424</v>
      </c>
      <c r="G97">
        <v>0.55869565217391304</v>
      </c>
      <c r="H97">
        <v>1.9550613012972021E-2</v>
      </c>
    </row>
    <row r="98" spans="1:8" x14ac:dyDescent="0.2">
      <c r="A98" s="4" t="s">
        <v>409</v>
      </c>
      <c r="B98" t="s">
        <v>7</v>
      </c>
      <c r="C98">
        <v>0.25521932911095468</v>
      </c>
      <c r="D98">
        <v>0.35897435897435898</v>
      </c>
      <c r="E98" t="s">
        <v>553</v>
      </c>
      <c r="F98" t="s">
        <v>552</v>
      </c>
      <c r="G98">
        <v>0.42603550295857978</v>
      </c>
      <c r="H98">
        <v>0</v>
      </c>
    </row>
    <row r="99" spans="1:8" x14ac:dyDescent="0.2">
      <c r="A99" s="5"/>
      <c r="B99" t="s">
        <v>8</v>
      </c>
      <c r="C99">
        <v>0.53333333333333333</v>
      </c>
      <c r="D99">
        <v>0.66666666666666663</v>
      </c>
      <c r="E99" t="s">
        <v>397</v>
      </c>
      <c r="F99" t="s">
        <v>396</v>
      </c>
      <c r="G99">
        <v>0.5</v>
      </c>
      <c r="H99">
        <v>0</v>
      </c>
    </row>
    <row r="100" spans="1:8" x14ac:dyDescent="0.2">
      <c r="A100" s="5"/>
      <c r="B100" t="s">
        <v>9</v>
      </c>
      <c r="C100">
        <v>0.57354497354497358</v>
      </c>
      <c r="D100">
        <v>0.66666666666666663</v>
      </c>
      <c r="E100" t="s">
        <v>549</v>
      </c>
      <c r="F100" t="s">
        <v>548</v>
      </c>
      <c r="G100">
        <v>0.51923076923076927</v>
      </c>
      <c r="H100">
        <v>8.2199493652678646E-2</v>
      </c>
    </row>
    <row r="101" spans="1:8" x14ac:dyDescent="0.2">
      <c r="A101" s="5"/>
      <c r="B101" t="s">
        <v>10</v>
      </c>
      <c r="C101">
        <v>0.53333333333333333</v>
      </c>
      <c r="D101">
        <v>0.66666666666666663</v>
      </c>
      <c r="E101" t="s">
        <v>397</v>
      </c>
      <c r="F101" t="s">
        <v>396</v>
      </c>
      <c r="G101">
        <v>0.57692307692307687</v>
      </c>
      <c r="H101">
        <v>0</v>
      </c>
    </row>
    <row r="102" spans="1:8" x14ac:dyDescent="0.2">
      <c r="A102" s="5"/>
      <c r="B102" t="s">
        <v>11</v>
      </c>
      <c r="C102">
        <v>0.16666666666666671</v>
      </c>
      <c r="D102">
        <v>0.33333333333333331</v>
      </c>
      <c r="E102" t="s">
        <v>547</v>
      </c>
      <c r="F102" t="s">
        <v>546</v>
      </c>
      <c r="G102">
        <v>0.5</v>
      </c>
      <c r="H102">
        <v>0</v>
      </c>
    </row>
    <row r="103" spans="1:8" x14ac:dyDescent="0.2">
      <c r="A103" s="5"/>
      <c r="B103" t="s">
        <v>12</v>
      </c>
      <c r="C103">
        <v>0.53333333333333333</v>
      </c>
      <c r="D103">
        <v>0.66666666666666663</v>
      </c>
      <c r="E103" t="s">
        <v>397</v>
      </c>
      <c r="F103" t="s">
        <v>396</v>
      </c>
      <c r="G103">
        <v>0.55621301775147924</v>
      </c>
      <c r="H103">
        <v>0</v>
      </c>
    </row>
    <row r="104" spans="1:8" x14ac:dyDescent="0.2">
      <c r="A104" s="5"/>
      <c r="B104" t="s">
        <v>13</v>
      </c>
      <c r="C104">
        <v>0.66957153231663036</v>
      </c>
      <c r="D104">
        <v>0.66666666666666663</v>
      </c>
      <c r="E104" t="s">
        <v>545</v>
      </c>
      <c r="F104" t="s">
        <v>544</v>
      </c>
      <c r="G104">
        <v>0.65088757396449703</v>
      </c>
      <c r="H104">
        <v>0.26457513110645908</v>
      </c>
    </row>
    <row r="105" spans="1:8" x14ac:dyDescent="0.2">
      <c r="A105" s="6"/>
      <c r="B105" t="s">
        <v>14</v>
      </c>
      <c r="C105">
        <v>0.5859649122807018</v>
      </c>
      <c r="D105">
        <v>0.58974358974358976</v>
      </c>
      <c r="E105" t="s">
        <v>543</v>
      </c>
      <c r="F105" t="s">
        <v>542</v>
      </c>
      <c r="G105">
        <v>0.67307692307692313</v>
      </c>
      <c r="H105">
        <v>0.35355339059327379</v>
      </c>
    </row>
    <row r="106" spans="1:8" x14ac:dyDescent="0.2">
      <c r="A106" s="4" t="s">
        <v>408</v>
      </c>
      <c r="B106" t="s">
        <v>7</v>
      </c>
      <c r="C106">
        <v>0.25521932911095468</v>
      </c>
      <c r="D106">
        <v>0.35897435897435898</v>
      </c>
      <c r="E106" t="s">
        <v>553</v>
      </c>
      <c r="F106" t="s">
        <v>552</v>
      </c>
      <c r="G106">
        <v>0.42603550295857978</v>
      </c>
      <c r="H106">
        <v>0</v>
      </c>
    </row>
    <row r="107" spans="1:8" x14ac:dyDescent="0.2">
      <c r="A107" s="5"/>
      <c r="B107" t="s">
        <v>8</v>
      </c>
      <c r="C107">
        <v>0.50793650793650791</v>
      </c>
      <c r="D107">
        <v>0.61538461538461542</v>
      </c>
      <c r="E107" t="s">
        <v>557</v>
      </c>
      <c r="F107" t="s">
        <v>556</v>
      </c>
      <c r="G107">
        <v>0.46153846153846162</v>
      </c>
      <c r="H107">
        <v>-0.16439898730535729</v>
      </c>
    </row>
    <row r="108" spans="1:8" x14ac:dyDescent="0.2">
      <c r="A108" s="5"/>
      <c r="B108" t="s">
        <v>9</v>
      </c>
      <c r="C108">
        <v>0.57354497354497358</v>
      </c>
      <c r="D108">
        <v>0.66666666666666663</v>
      </c>
      <c r="E108" t="s">
        <v>549</v>
      </c>
      <c r="F108" t="s">
        <v>548</v>
      </c>
      <c r="G108">
        <v>0.51923076923076927</v>
      </c>
      <c r="H108">
        <v>8.2199493652678646E-2</v>
      </c>
    </row>
    <row r="109" spans="1:8" x14ac:dyDescent="0.2">
      <c r="A109" s="5"/>
      <c r="B109" t="s">
        <v>10</v>
      </c>
      <c r="C109">
        <v>0.53333333333333333</v>
      </c>
      <c r="D109">
        <v>0.66666666666666663</v>
      </c>
      <c r="E109" t="s">
        <v>397</v>
      </c>
      <c r="F109" t="s">
        <v>396</v>
      </c>
      <c r="G109">
        <v>0.57692307692307687</v>
      </c>
      <c r="H109">
        <v>0</v>
      </c>
    </row>
    <row r="110" spans="1:8" x14ac:dyDescent="0.2">
      <c r="A110" s="5"/>
      <c r="B110" t="s">
        <v>11</v>
      </c>
      <c r="C110">
        <v>0.16666666666666671</v>
      </c>
      <c r="D110">
        <v>0.33333333333333331</v>
      </c>
      <c r="E110" t="s">
        <v>547</v>
      </c>
      <c r="F110" t="s">
        <v>546</v>
      </c>
      <c r="G110">
        <v>0.5</v>
      </c>
      <c r="H110">
        <v>0</v>
      </c>
    </row>
    <row r="111" spans="1:8" x14ac:dyDescent="0.2">
      <c r="A111" s="5"/>
      <c r="B111" t="s">
        <v>12</v>
      </c>
      <c r="C111">
        <v>0.53333333333333333</v>
      </c>
      <c r="D111">
        <v>0.66666666666666663</v>
      </c>
      <c r="E111" t="s">
        <v>397</v>
      </c>
      <c r="F111" t="s">
        <v>396</v>
      </c>
      <c r="G111">
        <v>0.55621301775147924</v>
      </c>
      <c r="H111">
        <v>0</v>
      </c>
    </row>
    <row r="112" spans="1:8" x14ac:dyDescent="0.2">
      <c r="A112" s="5"/>
      <c r="B112" t="s">
        <v>13</v>
      </c>
      <c r="C112">
        <v>0.66957153231663036</v>
      </c>
      <c r="D112">
        <v>0.66666666666666663</v>
      </c>
      <c r="E112" t="s">
        <v>545</v>
      </c>
      <c r="F112" t="s">
        <v>544</v>
      </c>
      <c r="G112">
        <v>0.65088757396449703</v>
      </c>
      <c r="H112">
        <v>0.26457513110645908</v>
      </c>
    </row>
    <row r="113" spans="1:8" x14ac:dyDescent="0.2">
      <c r="A113" s="6"/>
      <c r="B113" t="s">
        <v>14</v>
      </c>
      <c r="C113">
        <v>0.5859649122807018</v>
      </c>
      <c r="D113">
        <v>0.58974358974358976</v>
      </c>
      <c r="E113" t="s">
        <v>543</v>
      </c>
      <c r="F113" t="s">
        <v>542</v>
      </c>
      <c r="G113">
        <v>0.67307692307692313</v>
      </c>
      <c r="H113">
        <v>0.35355339059327379</v>
      </c>
    </row>
    <row r="114" spans="1:8" x14ac:dyDescent="0.2">
      <c r="A114" s="4" t="s">
        <v>407</v>
      </c>
      <c r="B114" t="s">
        <v>7</v>
      </c>
      <c r="C114">
        <v>0.25521932911095468</v>
      </c>
      <c r="D114">
        <v>0.35897435897435898</v>
      </c>
      <c r="E114" t="s">
        <v>553</v>
      </c>
      <c r="F114" t="s">
        <v>552</v>
      </c>
      <c r="G114">
        <v>0.42603550295857978</v>
      </c>
      <c r="H114">
        <v>0</v>
      </c>
    </row>
    <row r="115" spans="1:8" x14ac:dyDescent="0.2">
      <c r="A115" s="5"/>
      <c r="B115" t="s">
        <v>8</v>
      </c>
      <c r="C115">
        <v>0.63915343915343925</v>
      </c>
      <c r="D115">
        <v>0.71794871794871795</v>
      </c>
      <c r="E115" t="s">
        <v>555</v>
      </c>
      <c r="F115" t="s">
        <v>554</v>
      </c>
      <c r="G115">
        <v>0.57692307692307687</v>
      </c>
      <c r="H115">
        <v>0.32879797461071458</v>
      </c>
    </row>
    <row r="116" spans="1:8" x14ac:dyDescent="0.2">
      <c r="A116" s="5"/>
      <c r="B116" t="s">
        <v>9</v>
      </c>
      <c r="C116">
        <v>0.57354497354497358</v>
      </c>
      <c r="D116">
        <v>0.66666666666666663</v>
      </c>
      <c r="E116" t="s">
        <v>549</v>
      </c>
      <c r="F116" t="s">
        <v>548</v>
      </c>
      <c r="G116">
        <v>0.51923076923076927</v>
      </c>
      <c r="H116">
        <v>8.2199493652678646E-2</v>
      </c>
    </row>
    <row r="117" spans="1:8" x14ac:dyDescent="0.2">
      <c r="A117" s="5"/>
      <c r="B117" t="s">
        <v>10</v>
      </c>
      <c r="C117">
        <v>0.53333333333333333</v>
      </c>
      <c r="D117">
        <v>0.66666666666666663</v>
      </c>
      <c r="E117" t="s">
        <v>397</v>
      </c>
      <c r="F117" t="s">
        <v>396</v>
      </c>
      <c r="G117">
        <v>0.57692307692307687</v>
      </c>
      <c r="H117">
        <v>0</v>
      </c>
    </row>
    <row r="118" spans="1:8" x14ac:dyDescent="0.2">
      <c r="A118" s="5"/>
      <c r="B118" t="s">
        <v>11</v>
      </c>
      <c r="C118">
        <v>0.16666666666666671</v>
      </c>
      <c r="D118">
        <v>0.33333333333333331</v>
      </c>
      <c r="E118" t="s">
        <v>547</v>
      </c>
      <c r="F118" t="s">
        <v>546</v>
      </c>
      <c r="G118">
        <v>0.5</v>
      </c>
      <c r="H118">
        <v>0</v>
      </c>
    </row>
    <row r="119" spans="1:8" x14ac:dyDescent="0.2">
      <c r="A119" s="5"/>
      <c r="B119" t="s">
        <v>12</v>
      </c>
      <c r="C119">
        <v>0.53333333333333333</v>
      </c>
      <c r="D119">
        <v>0.66666666666666663</v>
      </c>
      <c r="E119" t="s">
        <v>397</v>
      </c>
      <c r="F119" t="s">
        <v>396</v>
      </c>
      <c r="G119">
        <v>0.55621301775147924</v>
      </c>
      <c r="H119">
        <v>0</v>
      </c>
    </row>
    <row r="120" spans="1:8" x14ac:dyDescent="0.2">
      <c r="A120" s="5"/>
      <c r="B120" t="s">
        <v>13</v>
      </c>
      <c r="C120">
        <v>0.66957153231663036</v>
      </c>
      <c r="D120">
        <v>0.66666666666666663</v>
      </c>
      <c r="E120" t="s">
        <v>545</v>
      </c>
      <c r="F120" t="s">
        <v>544</v>
      </c>
      <c r="G120">
        <v>0.65088757396449703</v>
      </c>
      <c r="H120">
        <v>0.26457513110645908</v>
      </c>
    </row>
    <row r="121" spans="1:8" x14ac:dyDescent="0.2">
      <c r="A121" s="6"/>
      <c r="B121" t="s">
        <v>14</v>
      </c>
      <c r="C121">
        <v>0.5859649122807018</v>
      </c>
      <c r="D121">
        <v>0.58974358974358976</v>
      </c>
      <c r="E121" t="s">
        <v>543</v>
      </c>
      <c r="F121" t="s">
        <v>542</v>
      </c>
      <c r="G121">
        <v>0.67307692307692313</v>
      </c>
      <c r="H121">
        <v>0.35355339059327379</v>
      </c>
    </row>
    <row r="122" spans="1:8" x14ac:dyDescent="0.2">
      <c r="A122" s="4" t="s">
        <v>406</v>
      </c>
      <c r="B122" t="s">
        <v>7</v>
      </c>
      <c r="C122">
        <v>0.25521932911095468</v>
      </c>
      <c r="D122">
        <v>0.35897435897435898</v>
      </c>
      <c r="E122" t="s">
        <v>553</v>
      </c>
      <c r="F122" t="s">
        <v>552</v>
      </c>
      <c r="G122">
        <v>0.42603550295857978</v>
      </c>
      <c r="H122">
        <v>0</v>
      </c>
    </row>
    <row r="123" spans="1:8" x14ac:dyDescent="0.2">
      <c r="A123" s="5"/>
      <c r="B123" t="s">
        <v>8</v>
      </c>
      <c r="C123">
        <v>0.49462365591397839</v>
      </c>
      <c r="D123">
        <v>0.58974358974358976</v>
      </c>
      <c r="E123" t="s">
        <v>551</v>
      </c>
      <c r="F123" t="s">
        <v>550</v>
      </c>
      <c r="G123">
        <v>0.44230769230769229</v>
      </c>
      <c r="H123">
        <v>-0.20412414523193151</v>
      </c>
    </row>
    <row r="124" spans="1:8" x14ac:dyDescent="0.2">
      <c r="A124" s="5"/>
      <c r="B124" t="s">
        <v>9</v>
      </c>
      <c r="C124">
        <v>0.57354497354497358</v>
      </c>
      <c r="D124">
        <v>0.66666666666666663</v>
      </c>
      <c r="E124" t="s">
        <v>549</v>
      </c>
      <c r="F124" t="s">
        <v>548</v>
      </c>
      <c r="G124">
        <v>0.51923076923076927</v>
      </c>
      <c r="H124">
        <v>8.2199493652678646E-2</v>
      </c>
    </row>
    <row r="125" spans="1:8" x14ac:dyDescent="0.2">
      <c r="A125" s="5"/>
      <c r="B125" t="s">
        <v>10</v>
      </c>
      <c r="C125">
        <v>0.53333333333333333</v>
      </c>
      <c r="D125">
        <v>0.66666666666666663</v>
      </c>
      <c r="E125" t="s">
        <v>397</v>
      </c>
      <c r="F125" t="s">
        <v>396</v>
      </c>
      <c r="G125">
        <v>0.57692307692307687</v>
      </c>
      <c r="H125">
        <v>0</v>
      </c>
    </row>
    <row r="126" spans="1:8" x14ac:dyDescent="0.2">
      <c r="A126" s="5"/>
      <c r="B126" t="s">
        <v>11</v>
      </c>
      <c r="C126">
        <v>0.16666666666666671</v>
      </c>
      <c r="D126">
        <v>0.33333333333333331</v>
      </c>
      <c r="E126" t="s">
        <v>547</v>
      </c>
      <c r="F126" t="s">
        <v>546</v>
      </c>
      <c r="G126">
        <v>0.5</v>
      </c>
      <c r="H126">
        <v>0</v>
      </c>
    </row>
    <row r="127" spans="1:8" x14ac:dyDescent="0.2">
      <c r="A127" s="5"/>
      <c r="B127" t="s">
        <v>12</v>
      </c>
      <c r="C127">
        <v>0.53333333333333333</v>
      </c>
      <c r="D127">
        <v>0.66666666666666663</v>
      </c>
      <c r="E127" t="s">
        <v>397</v>
      </c>
      <c r="F127" t="s">
        <v>396</v>
      </c>
      <c r="G127">
        <v>0.55621301775147924</v>
      </c>
      <c r="H127">
        <v>0</v>
      </c>
    </row>
    <row r="128" spans="1:8" x14ac:dyDescent="0.2">
      <c r="A128" s="5"/>
      <c r="B128" t="s">
        <v>13</v>
      </c>
      <c r="C128">
        <v>0.66957153231663036</v>
      </c>
      <c r="D128">
        <v>0.66666666666666663</v>
      </c>
      <c r="E128" t="s">
        <v>545</v>
      </c>
      <c r="F128" t="s">
        <v>544</v>
      </c>
      <c r="G128">
        <v>0.65088757396449703</v>
      </c>
      <c r="H128">
        <v>0.26457513110645908</v>
      </c>
    </row>
    <row r="129" spans="1:8" x14ac:dyDescent="0.2">
      <c r="A129" s="6"/>
      <c r="B129" t="s">
        <v>14</v>
      </c>
      <c r="C129">
        <v>0.5859649122807018</v>
      </c>
      <c r="D129">
        <v>0.58974358974358976</v>
      </c>
      <c r="E129" t="s">
        <v>543</v>
      </c>
      <c r="F129" t="s">
        <v>542</v>
      </c>
      <c r="G129">
        <v>0.67307692307692313</v>
      </c>
      <c r="H129">
        <v>0.35355339059327379</v>
      </c>
    </row>
    <row r="130" spans="1:8" x14ac:dyDescent="0.2">
      <c r="A130" s="4" t="s">
        <v>393</v>
      </c>
      <c r="B130" t="s">
        <v>7</v>
      </c>
      <c r="C130">
        <v>0.1851851851851852</v>
      </c>
      <c r="D130">
        <v>0.33333333333333331</v>
      </c>
      <c r="E130" t="s">
        <v>541</v>
      </c>
      <c r="F130" t="s">
        <v>540</v>
      </c>
      <c r="G130">
        <v>0.41764705882352943</v>
      </c>
      <c r="H130">
        <v>-0.25570415597837942</v>
      </c>
    </row>
    <row r="131" spans="1:8" x14ac:dyDescent="0.2">
      <c r="A131" s="5"/>
      <c r="B131" t="s">
        <v>8</v>
      </c>
      <c r="C131">
        <v>0.34419381787802839</v>
      </c>
      <c r="D131">
        <v>0.44444444444444442</v>
      </c>
      <c r="E131" t="s">
        <v>539</v>
      </c>
      <c r="F131" t="s">
        <v>538</v>
      </c>
      <c r="G131">
        <v>0.55882352941176472</v>
      </c>
      <c r="H131">
        <v>0.21693045781865619</v>
      </c>
    </row>
    <row r="132" spans="1:8" x14ac:dyDescent="0.2">
      <c r="A132" s="5"/>
      <c r="B132" t="s">
        <v>9</v>
      </c>
      <c r="C132">
        <v>0.5651867512332629</v>
      </c>
      <c r="D132">
        <v>0.66666666666666663</v>
      </c>
      <c r="E132" t="s">
        <v>383</v>
      </c>
      <c r="F132" t="s">
        <v>382</v>
      </c>
      <c r="G132">
        <v>0.55000000000000004</v>
      </c>
      <c r="H132">
        <v>0.25570415597837942</v>
      </c>
    </row>
    <row r="133" spans="1:8" x14ac:dyDescent="0.2">
      <c r="A133" s="5"/>
      <c r="B133" t="s">
        <v>10</v>
      </c>
      <c r="C133">
        <v>0.20020020020020021</v>
      </c>
      <c r="D133">
        <v>0.37037037037037029</v>
      </c>
      <c r="E133" t="s">
        <v>535</v>
      </c>
      <c r="F133" t="s">
        <v>534</v>
      </c>
      <c r="G133">
        <v>0.39411764705882357</v>
      </c>
      <c r="H133">
        <v>0</v>
      </c>
    </row>
    <row r="134" spans="1:8" x14ac:dyDescent="0.2">
      <c r="A134" s="5"/>
      <c r="B134" t="s">
        <v>11</v>
      </c>
      <c r="C134">
        <v>0.20020020020020021</v>
      </c>
      <c r="D134">
        <v>0.37037037037037029</v>
      </c>
      <c r="E134" t="s">
        <v>535</v>
      </c>
      <c r="F134" t="s">
        <v>534</v>
      </c>
      <c r="G134">
        <v>0.5</v>
      </c>
      <c r="H134">
        <v>0</v>
      </c>
    </row>
    <row r="135" spans="1:8" x14ac:dyDescent="0.2">
      <c r="A135" s="5"/>
      <c r="B135" t="s">
        <v>12</v>
      </c>
      <c r="C135">
        <v>0.48653198653198648</v>
      </c>
      <c r="D135">
        <v>0.62962962962962965</v>
      </c>
      <c r="E135" t="s">
        <v>537</v>
      </c>
      <c r="F135" t="s">
        <v>536</v>
      </c>
      <c r="G135">
        <v>0.35882352941176471</v>
      </c>
      <c r="H135">
        <v>0</v>
      </c>
    </row>
    <row r="136" spans="1:8" x14ac:dyDescent="0.2">
      <c r="A136" s="5"/>
      <c r="B136" t="s">
        <v>13</v>
      </c>
      <c r="C136">
        <v>0.20020020020020021</v>
      </c>
      <c r="D136">
        <v>0.37037037037037029</v>
      </c>
      <c r="E136" t="s">
        <v>535</v>
      </c>
      <c r="F136" t="s">
        <v>534</v>
      </c>
      <c r="G136">
        <v>0.42352941176470588</v>
      </c>
      <c r="H136">
        <v>0</v>
      </c>
    </row>
    <row r="137" spans="1:8" x14ac:dyDescent="0.2">
      <c r="A137" s="6"/>
      <c r="B137" t="s">
        <v>14</v>
      </c>
      <c r="C137">
        <v>0.57804232804232802</v>
      </c>
      <c r="D137">
        <v>0.62962962962962965</v>
      </c>
      <c r="E137" t="s">
        <v>533</v>
      </c>
      <c r="F137" t="s">
        <v>532</v>
      </c>
      <c r="G137">
        <v>0.56176470588235294</v>
      </c>
      <c r="H137">
        <v>0.1119462786762602</v>
      </c>
    </row>
    <row r="138" spans="1:8" x14ac:dyDescent="0.2">
      <c r="A138" s="4" t="s">
        <v>392</v>
      </c>
      <c r="B138" t="s">
        <v>7</v>
      </c>
      <c r="C138">
        <v>0.1851851851851852</v>
      </c>
      <c r="D138">
        <v>0.33333333333333331</v>
      </c>
      <c r="E138" t="s">
        <v>541</v>
      </c>
      <c r="F138" t="s">
        <v>540</v>
      </c>
      <c r="G138">
        <v>0.41764705882352943</v>
      </c>
      <c r="H138">
        <v>-0.25570415597837942</v>
      </c>
    </row>
    <row r="139" spans="1:8" x14ac:dyDescent="0.2">
      <c r="A139" s="5"/>
      <c r="B139" t="s">
        <v>8</v>
      </c>
      <c r="C139">
        <v>0.20020020020020021</v>
      </c>
      <c r="D139">
        <v>0.37037037037037029</v>
      </c>
      <c r="E139" t="s">
        <v>535</v>
      </c>
      <c r="F139" t="s">
        <v>534</v>
      </c>
      <c r="G139">
        <v>0.5</v>
      </c>
      <c r="H139">
        <v>0</v>
      </c>
    </row>
    <row r="140" spans="1:8" x14ac:dyDescent="0.2">
      <c r="A140" s="5"/>
      <c r="B140" t="s">
        <v>9</v>
      </c>
      <c r="C140">
        <v>0.5651867512332629</v>
      </c>
      <c r="D140">
        <v>0.66666666666666663</v>
      </c>
      <c r="E140" t="s">
        <v>383</v>
      </c>
      <c r="F140" t="s">
        <v>382</v>
      </c>
      <c r="G140">
        <v>0.55000000000000004</v>
      </c>
      <c r="H140">
        <v>0.25570415597837942</v>
      </c>
    </row>
    <row r="141" spans="1:8" x14ac:dyDescent="0.2">
      <c r="A141" s="5"/>
      <c r="B141" t="s">
        <v>10</v>
      </c>
      <c r="C141">
        <v>0.20020020020020021</v>
      </c>
      <c r="D141">
        <v>0.37037037037037029</v>
      </c>
      <c r="E141" t="s">
        <v>535</v>
      </c>
      <c r="F141" t="s">
        <v>534</v>
      </c>
      <c r="G141">
        <v>0.39411764705882357</v>
      </c>
      <c r="H141">
        <v>0</v>
      </c>
    </row>
    <row r="142" spans="1:8" x14ac:dyDescent="0.2">
      <c r="A142" s="5"/>
      <c r="B142" t="s">
        <v>11</v>
      </c>
      <c r="C142">
        <v>0.20020020020020021</v>
      </c>
      <c r="D142">
        <v>0.37037037037037029</v>
      </c>
      <c r="E142" t="s">
        <v>535</v>
      </c>
      <c r="F142" t="s">
        <v>534</v>
      </c>
      <c r="G142">
        <v>0.5</v>
      </c>
      <c r="H142">
        <v>0</v>
      </c>
    </row>
    <row r="143" spans="1:8" x14ac:dyDescent="0.2">
      <c r="A143" s="5"/>
      <c r="B143" t="s">
        <v>12</v>
      </c>
      <c r="C143">
        <v>0.48653198653198648</v>
      </c>
      <c r="D143">
        <v>0.62962962962962965</v>
      </c>
      <c r="E143" t="s">
        <v>537</v>
      </c>
      <c r="F143" t="s">
        <v>536</v>
      </c>
      <c r="G143">
        <v>0.35882352941176471</v>
      </c>
      <c r="H143">
        <v>0</v>
      </c>
    </row>
    <row r="144" spans="1:8" x14ac:dyDescent="0.2">
      <c r="A144" s="5"/>
      <c r="B144" t="s">
        <v>13</v>
      </c>
      <c r="C144">
        <v>0.20020020020020021</v>
      </c>
      <c r="D144">
        <v>0.37037037037037029</v>
      </c>
      <c r="E144" t="s">
        <v>535</v>
      </c>
      <c r="F144" t="s">
        <v>534</v>
      </c>
      <c r="G144">
        <v>0.42352941176470588</v>
      </c>
      <c r="H144">
        <v>0</v>
      </c>
    </row>
    <row r="145" spans="1:8" x14ac:dyDescent="0.2">
      <c r="A145" s="6"/>
      <c r="B145" t="s">
        <v>14</v>
      </c>
      <c r="C145">
        <v>0.57804232804232802</v>
      </c>
      <c r="D145">
        <v>0.62962962962962965</v>
      </c>
      <c r="E145" t="s">
        <v>533</v>
      </c>
      <c r="F145" t="s">
        <v>532</v>
      </c>
      <c r="G145">
        <v>0.56176470588235294</v>
      </c>
      <c r="H145">
        <v>0.1119462786762602</v>
      </c>
    </row>
    <row r="146" spans="1:8" x14ac:dyDescent="0.2">
      <c r="A146" s="4" t="s">
        <v>391</v>
      </c>
      <c r="B146" t="s">
        <v>7</v>
      </c>
      <c r="C146">
        <v>0.1851851851851852</v>
      </c>
      <c r="D146">
        <v>0.33333333333333331</v>
      </c>
      <c r="E146" t="s">
        <v>541</v>
      </c>
      <c r="F146" t="s">
        <v>540</v>
      </c>
      <c r="G146">
        <v>0.41764705882352943</v>
      </c>
      <c r="H146">
        <v>-0.25570415597837942</v>
      </c>
    </row>
    <row r="147" spans="1:8" x14ac:dyDescent="0.2">
      <c r="A147" s="5"/>
      <c r="B147" t="s">
        <v>8</v>
      </c>
      <c r="C147">
        <v>0.20020020020020021</v>
      </c>
      <c r="D147">
        <v>0.37037037037037029</v>
      </c>
      <c r="E147" t="s">
        <v>535</v>
      </c>
      <c r="F147" t="s">
        <v>534</v>
      </c>
      <c r="G147">
        <v>0.5</v>
      </c>
      <c r="H147">
        <v>0</v>
      </c>
    </row>
    <row r="148" spans="1:8" x14ac:dyDescent="0.2">
      <c r="A148" s="5"/>
      <c r="B148" t="s">
        <v>9</v>
      </c>
      <c r="C148">
        <v>0.5651867512332629</v>
      </c>
      <c r="D148">
        <v>0.66666666666666663</v>
      </c>
      <c r="E148" t="s">
        <v>383</v>
      </c>
      <c r="F148" t="s">
        <v>382</v>
      </c>
      <c r="G148">
        <v>0.55000000000000004</v>
      </c>
      <c r="H148">
        <v>0.25570415597837942</v>
      </c>
    </row>
    <row r="149" spans="1:8" x14ac:dyDescent="0.2">
      <c r="A149" s="5"/>
      <c r="B149" t="s">
        <v>10</v>
      </c>
      <c r="C149">
        <v>0.20020020020020021</v>
      </c>
      <c r="D149">
        <v>0.37037037037037029</v>
      </c>
      <c r="E149" t="s">
        <v>535</v>
      </c>
      <c r="F149" t="s">
        <v>534</v>
      </c>
      <c r="G149">
        <v>0.39411764705882357</v>
      </c>
      <c r="H149">
        <v>0</v>
      </c>
    </row>
    <row r="150" spans="1:8" x14ac:dyDescent="0.2">
      <c r="A150" s="5"/>
      <c r="B150" t="s">
        <v>11</v>
      </c>
      <c r="C150">
        <v>0.20020020020020021</v>
      </c>
      <c r="D150">
        <v>0.37037037037037029</v>
      </c>
      <c r="E150" t="s">
        <v>535</v>
      </c>
      <c r="F150" t="s">
        <v>534</v>
      </c>
      <c r="G150">
        <v>0.5</v>
      </c>
      <c r="H150">
        <v>0</v>
      </c>
    </row>
    <row r="151" spans="1:8" x14ac:dyDescent="0.2">
      <c r="A151" s="5"/>
      <c r="B151" t="s">
        <v>12</v>
      </c>
      <c r="C151">
        <v>0.48653198653198648</v>
      </c>
      <c r="D151">
        <v>0.62962962962962965</v>
      </c>
      <c r="E151" t="s">
        <v>537</v>
      </c>
      <c r="F151" t="s">
        <v>536</v>
      </c>
      <c r="G151">
        <v>0.35882352941176471</v>
      </c>
      <c r="H151">
        <v>0</v>
      </c>
    </row>
    <row r="152" spans="1:8" x14ac:dyDescent="0.2">
      <c r="A152" s="5"/>
      <c r="B152" t="s">
        <v>13</v>
      </c>
      <c r="C152">
        <v>0.20020020020020021</v>
      </c>
      <c r="D152">
        <v>0.37037037037037029</v>
      </c>
      <c r="E152" t="s">
        <v>535</v>
      </c>
      <c r="F152" t="s">
        <v>534</v>
      </c>
      <c r="G152">
        <v>0.42352941176470588</v>
      </c>
      <c r="H152">
        <v>0</v>
      </c>
    </row>
    <row r="153" spans="1:8" x14ac:dyDescent="0.2">
      <c r="A153" s="6"/>
      <c r="B153" t="s">
        <v>14</v>
      </c>
      <c r="C153">
        <v>0.57804232804232802</v>
      </c>
      <c r="D153">
        <v>0.62962962962962965</v>
      </c>
      <c r="E153" t="s">
        <v>533</v>
      </c>
      <c r="F153" t="s">
        <v>532</v>
      </c>
      <c r="G153">
        <v>0.56176470588235294</v>
      </c>
      <c r="H153">
        <v>0.1119462786762602</v>
      </c>
    </row>
    <row r="154" spans="1:8" x14ac:dyDescent="0.2">
      <c r="A154" s="4" t="s">
        <v>388</v>
      </c>
      <c r="B154" t="s">
        <v>7</v>
      </c>
      <c r="C154">
        <v>0.1851851851851852</v>
      </c>
      <c r="D154">
        <v>0.33333333333333331</v>
      </c>
      <c r="E154" t="s">
        <v>541</v>
      </c>
      <c r="F154" t="s">
        <v>540</v>
      </c>
      <c r="G154">
        <v>0.41764705882352943</v>
      </c>
      <c r="H154">
        <v>-0.25570415597837942</v>
      </c>
    </row>
    <row r="155" spans="1:8" x14ac:dyDescent="0.2">
      <c r="A155" s="5"/>
      <c r="B155" t="s">
        <v>8</v>
      </c>
      <c r="C155">
        <v>0.34419381787802839</v>
      </c>
      <c r="D155">
        <v>0.44444444444444442</v>
      </c>
      <c r="E155" t="s">
        <v>539</v>
      </c>
      <c r="F155" t="s">
        <v>538</v>
      </c>
      <c r="G155">
        <v>0.55882352941176472</v>
      </c>
      <c r="H155">
        <v>0.21693045781865619</v>
      </c>
    </row>
    <row r="156" spans="1:8" x14ac:dyDescent="0.2">
      <c r="A156" s="5"/>
      <c r="B156" t="s">
        <v>9</v>
      </c>
      <c r="C156">
        <v>0.5651867512332629</v>
      </c>
      <c r="D156">
        <v>0.66666666666666663</v>
      </c>
      <c r="E156" t="s">
        <v>383</v>
      </c>
      <c r="F156" t="s">
        <v>382</v>
      </c>
      <c r="G156">
        <v>0.55000000000000004</v>
      </c>
      <c r="H156">
        <v>0.25570415597837942</v>
      </c>
    </row>
    <row r="157" spans="1:8" x14ac:dyDescent="0.2">
      <c r="A157" s="5"/>
      <c r="B157" t="s">
        <v>10</v>
      </c>
      <c r="C157">
        <v>0.20020020020020021</v>
      </c>
      <c r="D157">
        <v>0.37037037037037029</v>
      </c>
      <c r="E157" t="s">
        <v>535</v>
      </c>
      <c r="F157" t="s">
        <v>534</v>
      </c>
      <c r="G157">
        <v>0.39411764705882357</v>
      </c>
      <c r="H157">
        <v>0</v>
      </c>
    </row>
    <row r="158" spans="1:8" x14ac:dyDescent="0.2">
      <c r="A158" s="5"/>
      <c r="B158" t="s">
        <v>11</v>
      </c>
      <c r="C158">
        <v>0.20020020020020021</v>
      </c>
      <c r="D158">
        <v>0.37037037037037029</v>
      </c>
      <c r="E158" t="s">
        <v>535</v>
      </c>
      <c r="F158" t="s">
        <v>534</v>
      </c>
      <c r="G158">
        <v>0.5</v>
      </c>
      <c r="H158">
        <v>0</v>
      </c>
    </row>
    <row r="159" spans="1:8" x14ac:dyDescent="0.2">
      <c r="A159" s="5"/>
      <c r="B159" t="s">
        <v>12</v>
      </c>
      <c r="C159">
        <v>0.48653198653198648</v>
      </c>
      <c r="D159">
        <v>0.62962962962962965</v>
      </c>
      <c r="E159" t="s">
        <v>537</v>
      </c>
      <c r="F159" t="s">
        <v>536</v>
      </c>
      <c r="G159">
        <v>0.35882352941176471</v>
      </c>
      <c r="H159">
        <v>0</v>
      </c>
    </row>
    <row r="160" spans="1:8" x14ac:dyDescent="0.2">
      <c r="A160" s="5"/>
      <c r="B160" t="s">
        <v>13</v>
      </c>
      <c r="C160">
        <v>0.20020020020020021</v>
      </c>
      <c r="D160">
        <v>0.37037037037037029</v>
      </c>
      <c r="E160" t="s">
        <v>535</v>
      </c>
      <c r="F160" t="s">
        <v>534</v>
      </c>
      <c r="G160">
        <v>0.42352941176470588</v>
      </c>
      <c r="H160">
        <v>0</v>
      </c>
    </row>
    <row r="161" spans="1:8" x14ac:dyDescent="0.2">
      <c r="A161" s="6"/>
      <c r="B161" t="s">
        <v>14</v>
      </c>
      <c r="C161">
        <v>0.57804232804232802</v>
      </c>
      <c r="D161">
        <v>0.62962962962962965</v>
      </c>
      <c r="E161" t="s">
        <v>533</v>
      </c>
      <c r="F161" t="s">
        <v>532</v>
      </c>
      <c r="G161">
        <v>0.56176470588235294</v>
      </c>
      <c r="H161">
        <v>0.1119462786762602</v>
      </c>
    </row>
  </sheetData>
  <mergeCells count="20">
    <mergeCell ref="A58:A65"/>
    <mergeCell ref="A98:A105"/>
    <mergeCell ref="A106:A113"/>
    <mergeCell ref="A114:A121"/>
    <mergeCell ref="A130:A137"/>
    <mergeCell ref="A138:A145"/>
    <mergeCell ref="A146:A153"/>
    <mergeCell ref="A154:A161"/>
    <mergeCell ref="A2:A9"/>
    <mergeCell ref="A10:A17"/>
    <mergeCell ref="A18:A25"/>
    <mergeCell ref="A26:A33"/>
    <mergeCell ref="A34:A41"/>
    <mergeCell ref="A42:A49"/>
    <mergeCell ref="A122:A129"/>
    <mergeCell ref="A66:A73"/>
    <mergeCell ref="A74:A81"/>
    <mergeCell ref="A82:A89"/>
    <mergeCell ref="A90:A97"/>
    <mergeCell ref="A50:A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9E65-774A-2E44-ABDB-103F966EB6AF}">
  <dimension ref="A1:C6"/>
  <sheetViews>
    <sheetView zoomScale="183" zoomScaleNormal="183" workbookViewId="0">
      <selection activeCell="F13" sqref="F13"/>
    </sheetView>
  </sheetViews>
  <sheetFormatPr baseColWidth="10" defaultRowHeight="15" x14ac:dyDescent="0.2"/>
  <sheetData>
    <row r="1" spans="1:3" x14ac:dyDescent="0.2">
      <c r="A1" t="s">
        <v>529</v>
      </c>
      <c r="B1" t="s">
        <v>370</v>
      </c>
      <c r="C1" t="s">
        <v>371</v>
      </c>
    </row>
    <row r="2" spans="1:3" x14ac:dyDescent="0.2">
      <c r="A2" t="s">
        <v>123</v>
      </c>
      <c r="B2">
        <v>851</v>
      </c>
      <c r="C2">
        <v>1053</v>
      </c>
    </row>
    <row r="3" spans="1:3" x14ac:dyDescent="0.2">
      <c r="A3" t="s">
        <v>124</v>
      </c>
      <c r="B3">
        <v>113</v>
      </c>
      <c r="C3">
        <v>97</v>
      </c>
    </row>
    <row r="4" spans="1:3" x14ac:dyDescent="0.2">
      <c r="A4" t="s">
        <v>367</v>
      </c>
      <c r="B4">
        <v>20</v>
      </c>
      <c r="C4">
        <v>58</v>
      </c>
    </row>
    <row r="5" spans="1:3" x14ac:dyDescent="0.2">
      <c r="A5" t="s">
        <v>368</v>
      </c>
      <c r="B5">
        <v>20</v>
      </c>
      <c r="C5">
        <v>70</v>
      </c>
    </row>
    <row r="6" spans="1:3" x14ac:dyDescent="0.2">
      <c r="A6" t="s">
        <v>369</v>
      </c>
      <c r="B6">
        <v>18</v>
      </c>
      <c r="C6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70-30 normal</vt:lpstr>
      <vt:lpstr>70_30_TFIDF</vt:lpstr>
      <vt:lpstr>80-20 normal</vt:lpstr>
      <vt:lpstr>cross_validation normal</vt:lpstr>
      <vt:lpstr>Cross_Projects_70_30</vt:lpstr>
      <vt:lpstr>cross_project_70_30_TFIDF</vt:lpstr>
      <vt:lpstr>statistic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 Sun</cp:lastModifiedBy>
  <dcterms:created xsi:type="dcterms:W3CDTF">2023-11-13T10:29:34Z</dcterms:created>
  <dcterms:modified xsi:type="dcterms:W3CDTF">2024-09-15T23:14:12Z</dcterms:modified>
</cp:coreProperties>
</file>